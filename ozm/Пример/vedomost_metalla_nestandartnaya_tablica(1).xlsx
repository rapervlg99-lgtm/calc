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96a4020e2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едомость" sheetId="1" r:id="R4bf53b154dfc48d4"/>
    <x:sheet xmlns:r="http://schemas.openxmlformats.org/officeDocument/2006/relationships" name="Сводка" sheetId="2" r:id="Rd7541080e3cd4d54"/>
    <x:sheet xmlns:r="http://schemas.openxmlformats.org/officeDocument/2006/relationships" name="Источники_и_заметки" sheetId="3" r:id="R51f4a6d34bbf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20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200" fontId="0" fillId="3" borderId="15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16" xfId="0" applyNumberFormat="1" applyFont="1" applyFill="1" applyBorder="1"/>
    <x:xf numFmtId="200" fontId="0" fillId="0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c9479c9a445ff" /><Relationship Type="http://schemas.openxmlformats.org/officeDocument/2006/relationships/theme" Target="/xl/theme/theme1.xml" Id="R904562098ff34c92" /><Relationship Type="http://schemas.openxmlformats.org/officeDocument/2006/relationships/sharedStrings" Target="/xl/sharedStrings.xml" Id="Rd9c71cde429348d9" /><Relationship Type="http://schemas.openxmlformats.org/officeDocument/2006/relationships/worksheet" Target="/xl/worksheets/sheet1.xml" Id="R4bf53b154dfc48d4" /><Relationship Type="http://schemas.openxmlformats.org/officeDocument/2006/relationships/worksheet" Target="/xl/worksheets/sheet2.xml" Id="Rd7541080e3cd4d54" /><Relationship Type="http://schemas.openxmlformats.org/officeDocument/2006/relationships/worksheet" Target="/xl/worksheets/sheet3.xml" Id="R51f4a6d34bbf45af" /></Relationships>
</file>

<file path=xl/tables/table1.xml><?xml version="1.0" encoding="utf-8"?>
<x:table xmlns:x="http://schemas.openxmlformats.org/spreadsheetml/2006/main" id="1" name="NonstandardMetalTable" displayName="NonstandardMetalTable" ref="A1:I61" headerRowCount="1">
  <x:tableColumns count="9">
    <x:tableColumn id="1" name="№"/>
    <x:tableColumn id="2" name="Наименование конструкций"/>
    <x:tableColumn id="3" name="ГОСТ / ТУ"/>
    <x:tableColumn id="4" name="Элемент"/>
    <x:tableColumn id="5" name="Масса, т"/>
    <x:tableColumn id="6" name="Уд. масса"/>
    <x:tableColumn id="7" name="Ед."/>
    <x:tableColumn id="8" name="Длина / площадь, м/м²"/>
    <x:tableColumn id="9" name="Статус проверк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289c6e43bb458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10" hidden="0" customWidth="1"/>
    <x:col min="8" max="8" width="20" hidden="0" customWidth="1"/>
    <x:col min="9" max="9" width="45" hidden="0" customWidth="1"/>
  </x:cols>
  <x:sheetData>
    <x:row r="1">
      <x:c r="A1" s="12" t="str">
        <x:v>№</x:v>
      </x:c>
      <x:c r="B1" s="13" t="str">
        <x:v>Наименование конструкций</x:v>
      </x:c>
      <x:c r="C1" s="13" t="str">
        <x:v>ГОСТ / ТУ</x:v>
      </x:c>
      <x:c r="D1" s="13" t="str">
        <x:v>Элемент</x:v>
      </x:c>
      <x:c r="E1" s="13" t="str">
        <x:v>Масса, т</x:v>
      </x:c>
      <x:c r="F1" s="13" t="str">
        <x:v>Уд. масса</x:v>
      </x:c>
      <x:c r="G1" s="13" t="str">
        <x:v>Ед.</x:v>
      </x:c>
      <x:c r="H1" s="13" t="str">
        <x:v>Длина / площадь, м/м²</x:v>
      </x:c>
      <x:c r="I1" s="14" t="str">
        <x:v>Статус проверки</x:v>
      </x:c>
    </x:row>
    <x:row r="2">
      <x:c r="A2" s="34" t="n">
        <x:v>1</x:v>
      </x:c>
      <x:c r="B2" s="35" t="str">
        <x:v>Элементы надколонников</x:v>
      </x:c>
      <x:c r="C2" s="35" t="str">
        <x:v>ГОСТ 19903/19904</x:v>
      </x:c>
      <x:c r="D2" s="35" t="str">
        <x:v>лист 20</x:v>
      </x:c>
      <x:c r="E2" s="36" t="n">
        <x:v>13</x:v>
      </x:c>
      <x:c r="F2" s="36" t="n">
        <x:v>157</x:v>
      </x:c>
      <x:c r="G2" s="36" t="str">
        <x:v>кг/м²</x:v>
      </x:c>
      <x:c r="H2" s="36" t="n">
        <x:f>IF(E2="","",E2*1000/F2)</x:f>
        <x:v>82.80254777070064</x:v>
      </x:c>
      <x:c r="I2" s="37" t="str">
        <x:v>OK</x:v>
      </x:c>
    </x:row>
    <x:row r="3">
      <x:c r="A3" s="34" t="n">
        <x:v>2</x:v>
      </x:c>
      <x:c r="B3" s="35" t="str">
        <x:v>Элементы надколонников</x:v>
      </x:c>
      <x:c r="C3" s="35" t="str">
        <x:v>ГОСТ 19903/19904</x:v>
      </x:c>
      <x:c r="D3" s="35" t="str">
        <x:v>лист 16</x:v>
      </x:c>
      <x:c r="E3" s="36" t="n">
        <x:v>0.57</x:v>
      </x:c>
      <x:c r="F3" s="36" t="n">
        <x:v>125.6</x:v>
      </x:c>
      <x:c r="G3" s="36" t="str">
        <x:v>кг/м²</x:v>
      </x:c>
      <x:c r="H3" s="36" t="n">
        <x:f>IF(E3="","",E3*1000/F3)</x:f>
        <x:v>4.538216560509555</x:v>
      </x:c>
      <x:c r="I3" s="37" t="str">
        <x:v>OK</x:v>
      </x:c>
    </x:row>
    <x:row r="4">
      <x:c r="A4" s="34" t="n">
        <x:v>3</x:v>
      </x:c>
      <x:c r="B4" s="35" t="str">
        <x:v>Элементы надколонников</x:v>
      </x:c>
      <x:c r="C4" s="35" t="str">
        <x:v>ГОСТ 19903/19904</x:v>
      </x:c>
      <x:c r="D4" s="35" t="str">
        <x:v>лист 15</x:v>
      </x:c>
      <x:c r="E4" s="36" t="n">
        <x:v>6.6</x:v>
      </x:c>
      <x:c r="F4" s="36" t="n">
        <x:v>117.75</x:v>
      </x:c>
      <x:c r="G4" s="36" t="str">
        <x:v>кг/м²</x:v>
      </x:c>
      <x:c r="H4" s="36" t="n">
        <x:f>IF(E4="","",E4*1000/F4)</x:f>
        <x:v>56.05095541401274</x:v>
      </x:c>
      <x:c r="I4" s="37" t="str">
        <x:v>OK</x:v>
      </x:c>
    </x:row>
    <x:row r="5">
      <x:c r="A5" s="34" t="n">
        <x:v>4</x:v>
      </x:c>
      <x:c r="B5" s="35" t="str">
        <x:v>Элементы надколонников</x:v>
      </x:c>
      <x:c r="C5" s="35" t="str">
        <x:v>ГОСТ 19903/19904</x:v>
      </x:c>
      <x:c r="D5" s="35" t="str">
        <x:v>лист 12</x:v>
      </x:c>
      <x:c r="E5" s="36" t="n">
        <x:v>2.1</x:v>
      </x:c>
      <x:c r="F5" s="36" t="n">
        <x:v>94.2</x:v>
      </x:c>
      <x:c r="G5" s="36" t="str">
        <x:v>кг/м²</x:v>
      </x:c>
      <x:c r="H5" s="36" t="n">
        <x:f>IF(E5="","",E5*1000/F5)</x:f>
        <x:v>22.292993630573246</x:v>
      </x:c>
      <x:c r="I5" s="37" t="str">
        <x:v>OK</x:v>
      </x:c>
    </x:row>
    <x:row r="6">
      <x:c r="A6" s="50" t="n">
        <x:v>5</x:v>
      </x:c>
      <x:c r="B6" s="51" t="str">
        <x:v>Колонны, стойки</x:v>
      </x:c>
      <x:c r="C6" s="51" t="str">
        <x:v>ГОСТ 30245-2003</x:v>
      </x:c>
      <x:c r="D6" s="51" t="str">
        <x:v>профиль 200×200×8</x:v>
      </x:c>
      <x:c r="E6" s="52" t="n">
        <x:v>1.38</x:v>
      </x:c>
      <x:c r="F6" s="52" t="n">
        <x:v>47.8</x:v>
      </x:c>
      <x:c r="G6" s="52" t="str">
        <x:v>кг/м</x:v>
      </x:c>
      <x:c r="H6" s="52" t="n">
        <x:f>IF(E6="","",E6*1000/F6)</x:f>
        <x:v>28.87029288702929</x:v>
      </x:c>
      <x:c r="I6" s="53" t="str">
        <x:v>Проверить 23met по ГОСТ 30245-2003</x:v>
      </x:c>
    </x:row>
    <x:row r="7">
      <x:c r="A7" s="34" t="n">
        <x:v>6</x:v>
      </x:c>
      <x:c r="B7" s="35" t="str">
        <x:v>Колонны, стойки</x:v>
      </x:c>
      <x:c r="C7" s="35" t="str">
        <x:v>ГОСТ 19903/19904</x:v>
      </x:c>
      <x:c r="D7" s="35" t="str">
        <x:v>лист 20</x:v>
      </x:c>
      <x:c r="E7" s="36" t="n">
        <x:v>0.41</x:v>
      </x:c>
      <x:c r="F7" s="36" t="n">
        <x:v>157</x:v>
      </x:c>
      <x:c r="G7" s="36" t="str">
        <x:v>кг/м²</x:v>
      </x:c>
      <x:c r="H7" s="36" t="n">
        <x:f>IF(E7="","",E7*1000/F7)</x:f>
        <x:v>2.611464968152866</x:v>
      </x:c>
      <x:c r="I7" s="37" t="str">
        <x:v>OK</x:v>
      </x:c>
    </x:row>
    <x:row r="8">
      <x:c r="A8" s="34" t="n">
        <x:v>7</x:v>
      </x:c>
      <x:c r="B8" s="35" t="str">
        <x:v>Колонны, стойки</x:v>
      </x:c>
      <x:c r="C8" s="35" t="str">
        <x:v>ГОСТ 19903/19904</x:v>
      </x:c>
      <x:c r="D8" s="35" t="str">
        <x:v>лист 12</x:v>
      </x:c>
      <x:c r="E8" s="36" t="n">
        <x:v>0.06</x:v>
      </x:c>
      <x:c r="F8" s="36" t="n">
        <x:v>94.2</x:v>
      </x:c>
      <x:c r="G8" s="36" t="str">
        <x:v>кг/м²</x:v>
      </x:c>
      <x:c r="H8" s="36" t="n">
        <x:f>IF(E8="","",E8*1000/F8)</x:f>
        <x:v>0.6369426751592356</x:v>
      </x:c>
      <x:c r="I8" s="37" t="str">
        <x:v>OK</x:v>
      </x:c>
    </x:row>
    <x:row r="9">
      <x:c r="A9" s="34" t="n">
        <x:v>8</x:v>
      </x:c>
      <x:c r="B9" s="35" t="str">
        <x:v>Колонны, стойки</x:v>
      </x:c>
      <x:c r="C9" s="35" t="str">
        <x:v>ГОСТ 19903/19904</x:v>
      </x:c>
      <x:c r="D9" s="35" t="str">
        <x:v>лист 10</x:v>
      </x:c>
      <x:c r="E9" s="36" t="n">
        <x:v>0.05</x:v>
      </x:c>
      <x:c r="F9" s="36" t="n">
        <x:v>78.5</x:v>
      </x:c>
      <x:c r="G9" s="36" t="str">
        <x:v>кг/м²</x:v>
      </x:c>
      <x:c r="H9" s="36" t="n">
        <x:f>IF(E9="","",E9*1000/F9)</x:f>
        <x:v>0.6369426751592356</x:v>
      </x:c>
      <x:c r="I9" s="37" t="str">
        <x:v>OK</x:v>
      </x:c>
    </x:row>
    <x:row r="10">
      <x:c r="A10" s="50" t="n">
        <x:v>9</x:v>
      </x:c>
      <x:c r="B10" s="51" t="str">
        <x:v>Балки перекрытия антресолей</x:v>
      </x:c>
      <x:c r="C10" s="51" t="str">
        <x:v>ГОСТ Р 57837-2017</x:v>
      </x:c>
      <x:c r="D10" s="51" t="str">
        <x:v>двутавр 25Ш1</x:v>
      </x:c>
      <x:c r="E10" s="52" t="n">
        <x:v>2.92</x:v>
      </x:c>
      <x:c r="F10" s="52" t="n">
        <x:v>44.1</x:v>
      </x:c>
      <x:c r="G10" s="52" t="str">
        <x:v>кг/м</x:v>
      </x:c>
      <x:c r="H10" s="52" t="n">
        <x:f>IF(E10="","",E10*1000/F10)</x:f>
        <x:v>66.21315192743764</x:v>
      </x:c>
      <x:c r="I10" s="53" t="str">
        <x:v>Проверить 23met по ГОСТ Р 57837-2017</x:v>
      </x:c>
    </x:row>
    <x:row r="11">
      <x:c r="A11" s="50" t="n">
        <x:v>10</x:v>
      </x:c>
      <x:c r="B11" s="51" t="str">
        <x:v>Балки перекрытия антресолей</x:v>
      </x:c>
      <x:c r="C11" s="51" t="str">
        <x:v>ГОСТ Р 57837-2017</x:v>
      </x:c>
      <x:c r="D11" s="51" t="str">
        <x:v>двутавр 35Ш2</x:v>
      </x:c>
      <x:c r="E11" s="52" t="n">
        <x:v>5.1</x:v>
      </x:c>
      <x:c r="F11" s="52" t="n">
        <x:v>70.6</x:v>
      </x:c>
      <x:c r="G11" s="52" t="str">
        <x:v>кг/м</x:v>
      </x:c>
      <x:c r="H11" s="52" t="n">
        <x:f>IF(E11="","",E11*1000/F11)</x:f>
        <x:v>72.23796033994334</x:v>
      </x:c>
      <x:c r="I11" s="53" t="str">
        <x:v>Проверить 23met по ГОСТ Р 57837-2017</x:v>
      </x:c>
    </x:row>
    <x:row r="12">
      <x:c r="A12" s="50" t="n">
        <x:v>11</x:v>
      </x:c>
      <x:c r="B12" s="51" t="str">
        <x:v>Балки перекрытия</x:v>
      </x:c>
      <x:c r="C12" s="51" t="str">
        <x:v>ГОСТ Р 57837-2017</x:v>
      </x:c>
      <x:c r="D12" s="51" t="str">
        <x:v>двутавр 35Ш2</x:v>
      </x:c>
      <x:c r="E12" s="52" t="n">
        <x:v>8.29</x:v>
      </x:c>
      <x:c r="F12" s="52" t="n">
        <x:v>70.6</x:v>
      </x:c>
      <x:c r="G12" s="52" t="str">
        <x:v>кг/м</x:v>
      </x:c>
      <x:c r="H12" s="52" t="n">
        <x:f>IF(E12="","",E12*1000/F12)</x:f>
        <x:v>117.42209631728046</x:v>
      </x:c>
      <x:c r="I12" s="53" t="str">
        <x:v>Проверить 23met по ГОСТ Р 57837-2017</x:v>
      </x:c>
    </x:row>
    <x:row r="13">
      <x:c r="A13" s="50" t="n">
        <x:v>12</x:v>
      </x:c>
      <x:c r="B13" s="51" t="str">
        <x:v>Балки перекрытия</x:v>
      </x:c>
      <x:c r="C13" s="51" t="str">
        <x:v>ГОСТ Р 57837-2017</x:v>
      </x:c>
      <x:c r="D13" s="51" t="str">
        <x:v>двутавр 40Ш2</x:v>
      </x:c>
      <x:c r="E13" s="52" t="n">
        <x:v>40.43</x:v>
      </x:c>
      <x:c r="F13" s="52" t="n">
        <x:v>95</x:v>
      </x:c>
      <x:c r="G13" s="52" t="str">
        <x:v>кг/м</x:v>
      </x:c>
      <x:c r="H13" s="52" t="n">
        <x:f>IF(E13="","",E13*1000/F13)</x:f>
        <x:v>425.57894736842104</x:v>
      </x:c>
      <x:c r="I13" s="53" t="str">
        <x:v>Проверить 23met по ГОСТ Р 57837-2017</x:v>
      </x:c>
    </x:row>
    <x:row r="14">
      <x:c r="A14" s="50" t="n">
        <x:v>13</x:v>
      </x:c>
      <x:c r="B14" s="51" t="str">
        <x:v>Балки перекрытия</x:v>
      </x:c>
      <x:c r="C14" s="51" t="str">
        <x:v>ГОСТ 8509-93 / 8510-86</x:v>
      </x:c>
      <x:c r="D14" s="51" t="str">
        <x:v>уголок 140×140×9</x:v>
      </x:c>
      <x:c r="E14" s="52" t="n">
        <x:v>1.14</x:v>
      </x:c>
      <x:c r="F14" s="52" t="n">
        <x:v>19.41</x:v>
      </x:c>
      <x:c r="G14" s="52" t="str">
        <x:v>кг/м</x:v>
      </x:c>
      <x:c r="H14" s="52" t="n">
        <x:f>IF(E14="","",E14*1000/F14)</x:f>
        <x:v>58.73261205564142</x:v>
      </x:c>
      <x:c r="I14" s="53" t="str">
        <x:v>Проверить 23met по ГОСТ 8509-93</x:v>
      </x:c>
    </x:row>
    <x:row r="15">
      <x:c r="A15" s="34" t="n">
        <x:v>14</x:v>
      </x:c>
      <x:c r="B15" s="35" t="str">
        <x:v>Балки перекрытия</x:v>
      </x:c>
      <x:c r="C15" s="35" t="str">
        <x:v>ГОСТ 19903/19904</x:v>
      </x:c>
      <x:c r="D15" s="35" t="str">
        <x:v>лист 12</x:v>
      </x:c>
      <x:c r="E15" s="36" t="n">
        <x:v>0.24</x:v>
      </x:c>
      <x:c r="F15" s="36" t="n">
        <x:v>94.2</x:v>
      </x:c>
      <x:c r="G15" s="36" t="str">
        <x:v>кг/м²</x:v>
      </x:c>
      <x:c r="H15" s="36" t="n">
        <x:f>IF(E15="","",E15*1000/F15)</x:f>
        <x:v>2.5477707006369426</x:v>
      </x:c>
      <x:c r="I15" s="37" t="str">
        <x:v>OK</x:v>
      </x:c>
    </x:row>
    <x:row r="16">
      <x:c r="A16" s="34" t="n">
        <x:v>15</x:v>
      </x:c>
      <x:c r="B16" s="35" t="str">
        <x:v>Балки перекрытия</x:v>
      </x:c>
      <x:c r="C16" s="35" t="str">
        <x:v>ГОСТ 19903/19904</x:v>
      </x:c>
      <x:c r="D16" s="35" t="str">
        <x:v>лист 10</x:v>
      </x:c>
      <x:c r="E16" s="36" t="n">
        <x:v>0.14</x:v>
      </x:c>
      <x:c r="F16" s="36" t="n">
        <x:v>78.5</x:v>
      </x:c>
      <x:c r="G16" s="36" t="str">
        <x:v>кг/м²</x:v>
      </x:c>
      <x:c r="H16" s="36" t="n">
        <x:f>IF(E16="","",E16*1000/F16)</x:f>
        <x:v>1.78343949044586</x:v>
      </x:c>
      <x:c r="I16" s="37" t="str">
        <x:v>OK</x:v>
      </x:c>
    </x:row>
    <x:row r="17">
      <x:c r="A17" s="34" t="n">
        <x:v>16</x:v>
      </x:c>
      <x:c r="B17" s="35" t="str">
        <x:v>Балки перекрытия</x:v>
      </x:c>
      <x:c r="C17" s="35" t="str">
        <x:v>ГОСТ 19903/19904</x:v>
      </x:c>
      <x:c r="D17" s="35" t="str">
        <x:v>лист 8</x:v>
      </x:c>
      <x:c r="E17" s="36" t="n">
        <x:v>0.24</x:v>
      </x:c>
      <x:c r="F17" s="36" t="n">
        <x:v>62.8</x:v>
      </x:c>
      <x:c r="G17" s="36" t="str">
        <x:v>кг/м²</x:v>
      </x:c>
      <x:c r="H17" s="36" t="n">
        <x:f>IF(E17="","",E17*1000/F17)</x:f>
        <x:v>3.821656050955414</x:v>
      </x:c>
      <x:c r="I17" s="37" t="str">
        <x:v>OK</x:v>
      </x:c>
    </x:row>
    <x:row r="18">
      <x:c r="A18" s="50" t="n">
        <x:v>17</x:v>
      </x:c>
      <x:c r="B18" s="51" t="str">
        <x:v>Балки стропильные</x:v>
      </x:c>
      <x:c r="C18" s="51" t="str">
        <x:v>ГОСТ Р 57837-2017</x:v>
      </x:c>
      <x:c r="D18" s="51" t="str">
        <x:v>двутавр 35Ш2</x:v>
      </x:c>
      <x:c r="E18" s="52" t="n">
        <x:v>13.73</x:v>
      </x:c>
      <x:c r="F18" s="52" t="n">
        <x:v>70.6</x:v>
      </x:c>
      <x:c r="G18" s="52" t="str">
        <x:v>кг/м</x:v>
      </x:c>
      <x:c r="H18" s="52" t="n">
        <x:f>IF(E18="","",E18*1000/F18)</x:f>
        <x:v>194.4759206798867</x:v>
      </x:c>
      <x:c r="I18" s="53" t="str">
        <x:v>Проверить 23met по ГОСТ Р 57837-2017</x:v>
      </x:c>
    </x:row>
    <x:row r="19">
      <x:c r="A19" s="50" t="n">
        <x:v>18</x:v>
      </x:c>
      <x:c r="B19" s="51" t="str">
        <x:v>Балки стропильные</x:v>
      </x:c>
      <x:c r="C19" s="51" t="str">
        <x:v>ГОСТ Р 57837-2017</x:v>
      </x:c>
      <x:c r="D19" s="51" t="str">
        <x:v>двутавр 40Ш2</x:v>
      </x:c>
      <x:c r="E19" s="52" t="n">
        <x:v>25</x:v>
      </x:c>
      <x:c r="F19" s="52" t="n">
        <x:v>95</x:v>
      </x:c>
      <x:c r="G19" s="52" t="str">
        <x:v>кг/м</x:v>
      </x:c>
      <x:c r="H19" s="52" t="n">
        <x:f>IF(E19="","",E19*1000/F19)</x:f>
        <x:v>263.1578947368421</x:v>
      </x:c>
      <x:c r="I19" s="53" t="str">
        <x:v>Проверить 23met по ГОСТ Р 57837-2017</x:v>
      </x:c>
    </x:row>
    <x:row r="20">
      <x:c r="A20" s="34" t="n">
        <x:v>19</x:v>
      </x:c>
      <x:c r="B20" s="35" t="str">
        <x:v>Балки стропильные</x:v>
      </x:c>
      <x:c r="C20" s="35" t="str">
        <x:v>ГОСТ 19903/19904</x:v>
      </x:c>
      <x:c r="D20" s="35" t="str">
        <x:v>лист 12</x:v>
      </x:c>
      <x:c r="E20" s="36" t="n">
        <x:v>1.4</x:v>
      </x:c>
      <x:c r="F20" s="36" t="n">
        <x:v>94.2</x:v>
      </x:c>
      <x:c r="G20" s="36" t="str">
        <x:v>кг/м²</x:v>
      </x:c>
      <x:c r="H20" s="36" t="n">
        <x:f>IF(E20="","",E20*1000/F20)</x:f>
        <x:v>14.8619957537155</x:v>
      </x:c>
      <x:c r="I20" s="37" t="str">
        <x:v>OK</x:v>
      </x:c>
    </x:row>
    <x:row r="21">
      <x:c r="A21" s="34" t="n">
        <x:v>20</x:v>
      </x:c>
      <x:c r="B21" s="35" t="str">
        <x:v>Балки стропильные</x:v>
      </x:c>
      <x:c r="C21" s="35" t="str">
        <x:v>ГОСТ 19903/19904</x:v>
      </x:c>
      <x:c r="D21" s="35" t="str">
        <x:v>лист 10</x:v>
      </x:c>
      <x:c r="E21" s="36" t="n">
        <x:v>0.42</x:v>
      </x:c>
      <x:c r="F21" s="36" t="n">
        <x:v>78.5</x:v>
      </x:c>
      <x:c r="G21" s="36" t="str">
        <x:v>кг/м²</x:v>
      </x:c>
      <x:c r="H21" s="36" t="n">
        <x:f>IF(E21="","",E21*1000/F21)</x:f>
        <x:v>5.350318471337579</x:v>
      </x:c>
      <x:c r="I21" s="37" t="str">
        <x:v>OK</x:v>
      </x:c>
    </x:row>
    <x:row r="22">
      <x:c r="A22" s="50" t="n">
        <x:v>21</x:v>
      </x:c>
      <x:c r="B22" s="51" t="str">
        <x:v>Балки подстропильные</x:v>
      </x:c>
      <x:c r="C22" s="51" t="str">
        <x:v>ГОСТ Р 57837-2017</x:v>
      </x:c>
      <x:c r="D22" s="51" t="str">
        <x:v>двутавр 40Ш2</x:v>
      </x:c>
      <x:c r="E22" s="52" t="n">
        <x:v>110</x:v>
      </x:c>
      <x:c r="F22" s="52" t="n">
        <x:v>95</x:v>
      </x:c>
      <x:c r="G22" s="52" t="str">
        <x:v>кг/м</x:v>
      </x:c>
      <x:c r="H22" s="52" t="n">
        <x:f>IF(E22="","",E22*1000/F22)</x:f>
        <x:v>1157.8947368421052</x:v>
      </x:c>
      <x:c r="I22" s="53" t="str">
        <x:v>Проверить 23met по ГОСТ Р 57837-2017</x:v>
      </x:c>
    </x:row>
    <x:row r="23">
      <x:c r="A23" s="34" t="n">
        <x:v>22</x:v>
      </x:c>
      <x:c r="B23" s="35" t="str">
        <x:v>Балки подстропильные</x:v>
      </x:c>
      <x:c r="C23" s="35" t="str">
        <x:v>ГОСТ 19903/19904</x:v>
      </x:c>
      <x:c r="D23" s="35" t="str">
        <x:v>лист 30</x:v>
      </x:c>
      <x:c r="E23" s="36" t="n">
        <x:v>3.38</x:v>
      </x:c>
      <x:c r="F23" s="36" t="n">
        <x:v>235.5</x:v>
      </x:c>
      <x:c r="G23" s="36" t="str">
        <x:v>кг/м²</x:v>
      </x:c>
      <x:c r="H23" s="36" t="n">
        <x:f>IF(E23="","",E23*1000/F23)</x:f>
        <x:v>14.35244161358811</x:v>
      </x:c>
      <x:c r="I23" s="37" t="str">
        <x:v>OK</x:v>
      </x:c>
    </x:row>
    <x:row r="24">
      <x:c r="A24" s="34" t="n">
        <x:v>23</x:v>
      </x:c>
      <x:c r="B24" s="35" t="str">
        <x:v>Балки подстропильные</x:v>
      </x:c>
      <x:c r="C24" s="35" t="str">
        <x:v>ГОСТ 19903/19904</x:v>
      </x:c>
      <x:c r="D24" s="35" t="str">
        <x:v>лист 16</x:v>
      </x:c>
      <x:c r="E24" s="36" t="n">
        <x:v>0.62</x:v>
      </x:c>
      <x:c r="F24" s="36" t="n">
        <x:v>125.6</x:v>
      </x:c>
      <x:c r="G24" s="36" t="str">
        <x:v>кг/м²</x:v>
      </x:c>
      <x:c r="H24" s="36" t="n">
        <x:f>IF(E24="","",E24*1000/F24)</x:f>
        <x:v>4.936305732484077</x:v>
      </x:c>
      <x:c r="I24" s="37" t="str">
        <x:v>OK</x:v>
      </x:c>
    </x:row>
    <x:row r="25">
      <x:c r="A25" s="34" t="n">
        <x:v>24</x:v>
      </x:c>
      <x:c r="B25" s="35" t="str">
        <x:v>Балки подстропильные</x:v>
      </x:c>
      <x:c r="C25" s="35" t="str">
        <x:v>ГОСТ 19903/19904</x:v>
      </x:c>
      <x:c r="D25" s="35" t="str">
        <x:v>лист 12</x:v>
      </x:c>
      <x:c r="E25" s="36" t="n">
        <x:v>1.71</x:v>
      </x:c>
      <x:c r="F25" s="36" t="n">
        <x:v>94.2</x:v>
      </x:c>
      <x:c r="G25" s="36" t="str">
        <x:v>кг/м²</x:v>
      </x:c>
      <x:c r="H25" s="36" t="n">
        <x:f>IF(E25="","",E25*1000/F25)</x:f>
        <x:v>18.152866242038215</x:v>
      </x:c>
      <x:c r="I25" s="37" t="str">
        <x:v>OK</x:v>
      </x:c>
    </x:row>
    <x:row r="26">
      <x:c r="A26" s="50" t="n">
        <x:v>25</x:v>
      </x:c>
      <x:c r="B26" s="51" t="str">
        <x:v>Фермы</x:v>
      </x:c>
      <x:c r="C26" s="51" t="str">
        <x:v>ГОСТ 8509-93 / 8510-86</x:v>
      </x:c>
      <x:c r="D26" s="51" t="str">
        <x:v>уголок 140×140×9</x:v>
      </x:c>
      <x:c r="E26" s="52" t="n">
        <x:v>0.17</x:v>
      </x:c>
      <x:c r="F26" s="52" t="n">
        <x:v>19.41</x:v>
      </x:c>
      <x:c r="G26" s="52" t="str">
        <x:v>кг/м</x:v>
      </x:c>
      <x:c r="H26" s="52" t="n">
        <x:f>IF(E26="","",E26*1000/F26)</x:f>
        <x:v>8.758371973209686</x:v>
      </x:c>
      <x:c r="I26" s="53" t="str">
        <x:v>Проверить 23met по ГОСТ 8509-93</x:v>
      </x:c>
    </x:row>
    <x:row r="27">
      <x:c r="A27" s="50" t="n">
        <x:v>26</x:v>
      </x:c>
      <x:c r="B27" s="51" t="str">
        <x:v>Фермы</x:v>
      </x:c>
      <x:c r="C27" s="51" t="str">
        <x:v>ГОСТ 8509-93 / 8510-86</x:v>
      </x:c>
      <x:c r="D27" s="51" t="str">
        <x:v>уголок 125×125×8</x:v>
      </x:c>
      <x:c r="E27" s="52" t="n">
        <x:v>0.87</x:v>
      </x:c>
      <x:c r="F27" s="52" t="n">
        <x:v>15.46</x:v>
      </x:c>
      <x:c r="G27" s="52" t="str">
        <x:v>кг/м</x:v>
      </x:c>
      <x:c r="H27" s="52" t="n">
        <x:f>IF(E27="","",E27*1000/F27)</x:f>
        <x:v>56.27425614489004</x:v>
      </x:c>
      <x:c r="I27" s="53" t="str">
        <x:v>Проверить 23met по ГОСТ 8509-93</x:v>
      </x:c>
    </x:row>
    <x:row r="28">
      <x:c r="A28" s="50" t="n">
        <x:v>27</x:v>
      </x:c>
      <x:c r="B28" s="51" t="str">
        <x:v>Фермы</x:v>
      </x:c>
      <x:c r="C28" s="51" t="str">
        <x:v>ГОСТ 30245-2003</x:v>
      </x:c>
      <x:c r="D28" s="51" t="str">
        <x:v>профиль 180×140×6</x:v>
      </x:c>
      <x:c r="E28" s="52" t="n">
        <x:v>47.7</x:v>
      </x:c>
      <x:c r="F28" s="52" t="n">
        <x:v>28.9</x:v>
      </x:c>
      <x:c r="G28" s="52" t="str">
        <x:v>кг/м</x:v>
      </x:c>
      <x:c r="H28" s="52" t="n">
        <x:f>IF(E28="","",E28*1000/F28)</x:f>
        <x:v>1650.5190311418685</x:v>
      </x:c>
      <x:c r="I28" s="53" t="str">
        <x:v>Проверить 23met по ГОСТ 30245-2003</x:v>
      </x:c>
    </x:row>
    <x:row r="29">
      <x:c r="A29" s="50" t="n">
        <x:v>28</x:v>
      </x:c>
      <x:c r="B29" s="51" t="str">
        <x:v>Фермы</x:v>
      </x:c>
      <x:c r="C29" s="51" t="str">
        <x:v>ГОСТ 30245-2003</x:v>
      </x:c>
      <x:c r="D29" s="51" t="str">
        <x:v>профиль 140×140×6</x:v>
      </x:c>
      <x:c r="E29" s="52" t="n">
        <x:v>32.86</x:v>
      </x:c>
      <x:c r="F29" s="52" t="n">
        <x:v>24.9</x:v>
      </x:c>
      <x:c r="G29" s="52" t="str">
        <x:v>кг/м</x:v>
      </x:c>
      <x:c r="H29" s="52" t="n">
        <x:f>IF(E29="","",E29*1000/F29)</x:f>
        <x:v>1319.6787148594378</x:v>
      </x:c>
      <x:c r="I29" s="53" t="str">
        <x:v>Проверить 23met по ГОСТ 30245-2003</x:v>
      </x:c>
    </x:row>
    <x:row r="30">
      <x:c r="A30" s="50" t="n">
        <x:v>29</x:v>
      </x:c>
      <x:c r="B30" s="51" t="str">
        <x:v>Фермы</x:v>
      </x:c>
      <x:c r="C30" s="51" t="str">
        <x:v>ГОСТ 30245-2003</x:v>
      </x:c>
      <x:c r="D30" s="51" t="str">
        <x:v>профиль 100×100×5</x:v>
      </x:c>
      <x:c r="E30" s="52" t="n">
        <x:v>13.78</x:v>
      </x:c>
      <x:c r="F30" s="52" t="n">
        <x:v>14.4</x:v>
      </x:c>
      <x:c r="G30" s="52" t="str">
        <x:v>кг/м</x:v>
      </x:c>
      <x:c r="H30" s="52" t="n">
        <x:f>IF(E30="","",E30*1000/F30)</x:f>
        <x:v>956.9444444444445</x:v>
      </x:c>
      <x:c r="I30" s="53" t="str">
        <x:v>Проверить 23met по ГОСТ 30245-2003</x:v>
      </x:c>
    </x:row>
    <x:row r="31">
      <x:c r="A31" s="50" t="n">
        <x:v>30</x:v>
      </x:c>
      <x:c r="B31" s="51" t="str">
        <x:v>Фермы</x:v>
      </x:c>
      <x:c r="C31" s="51" t="str">
        <x:v>ГОСТ 30245-2003</x:v>
      </x:c>
      <x:c r="D31" s="51" t="str">
        <x:v>профиль 80×80×4</x:v>
      </x:c>
      <x:c r="E31" s="52" t="n">
        <x:v>8.48</x:v>
      </x:c>
      <x:c r="F31" s="52" t="n">
        <x:v>9.33</x:v>
      </x:c>
      <x:c r="G31" s="52" t="str">
        <x:v>кг/м</x:v>
      </x:c>
      <x:c r="H31" s="52" t="n">
        <x:f>IF(E31="","",E31*1000/F31)</x:f>
        <x:v>908.8960342979635</x:v>
      </x:c>
      <x:c r="I31" s="53" t="str">
        <x:v>Проверить 23met по ГОСТ 30245-2003</x:v>
      </x:c>
    </x:row>
    <x:row r="32">
      <x:c r="A32" s="34" t="n">
        <x:v>31</x:v>
      </x:c>
      <x:c r="B32" s="35" t="str">
        <x:v>Фермы</x:v>
      </x:c>
      <x:c r="C32" s="35" t="str">
        <x:v>ГОСТ 19903/19904</x:v>
      </x:c>
      <x:c r="D32" s="35" t="str">
        <x:v>лист 30</x:v>
      </x:c>
      <x:c r="E32" s="36" t="n">
        <x:v>4.46</x:v>
      </x:c>
      <x:c r="F32" s="36" t="n">
        <x:v>235.5</x:v>
      </x:c>
      <x:c r="G32" s="36" t="str">
        <x:v>кг/м²</x:v>
      </x:c>
      <x:c r="H32" s="36" t="n">
        <x:f>IF(E32="","",E32*1000/F32)</x:f>
        <x:v>18.93842887473461</x:v>
      </x:c>
      <x:c r="I32" s="37" t="str">
        <x:v>OK</x:v>
      </x:c>
    </x:row>
    <x:row r="33">
      <x:c r="A33" s="34" t="n">
        <x:v>32</x:v>
      </x:c>
      <x:c r="B33" s="35" t="str">
        <x:v>Фермы</x:v>
      </x:c>
      <x:c r="C33" s="35" t="str">
        <x:v>ГОСТ 19903/19904</x:v>
      </x:c>
      <x:c r="D33" s="35" t="str">
        <x:v>лист 20</x:v>
      </x:c>
      <x:c r="E33" s="36" t="n">
        <x:v>4.45</x:v>
      </x:c>
      <x:c r="F33" s="36" t="n">
        <x:v>157</x:v>
      </x:c>
      <x:c r="G33" s="36" t="str">
        <x:v>кг/м²</x:v>
      </x:c>
      <x:c r="H33" s="36" t="n">
        <x:f>IF(E33="","",E33*1000/F33)</x:f>
        <x:v>28.343949044585987</x:v>
      </x:c>
      <x:c r="I33" s="37" t="str">
        <x:v>OK</x:v>
      </x:c>
    </x:row>
    <x:row r="34">
      <x:c r="A34" s="34" t="n">
        <x:v>33</x:v>
      </x:c>
      <x:c r="B34" s="35" t="str">
        <x:v>Фермы</x:v>
      </x:c>
      <x:c r="C34" s="35" t="str">
        <x:v>ГОСТ 19903/19904</x:v>
      </x:c>
      <x:c r="D34" s="35" t="str">
        <x:v>лист 12</x:v>
      </x:c>
      <x:c r="E34" s="36" t="n">
        <x:v>0.46</x:v>
      </x:c>
      <x:c r="F34" s="36" t="n">
        <x:v>94.2</x:v>
      </x:c>
      <x:c r="G34" s="36" t="str">
        <x:v>кг/м²</x:v>
      </x:c>
      <x:c r="H34" s="36" t="n">
        <x:f>IF(E34="","",E34*1000/F34)</x:f>
        <x:v>4.883227176220807</x:v>
      </x:c>
      <x:c r="I34" s="37" t="str">
        <x:v>OK</x:v>
      </x:c>
    </x:row>
    <x:row r="35">
      <x:c r="A35" s="34" t="n">
        <x:v>34</x:v>
      </x:c>
      <x:c r="B35" s="35" t="str">
        <x:v>Фермы</x:v>
      </x:c>
      <x:c r="C35" s="35" t="str">
        <x:v>ГОСТ 19903/19904</x:v>
      </x:c>
      <x:c r="D35" s="35" t="str">
        <x:v>лист 10</x:v>
      </x:c>
      <x:c r="E35" s="36" t="n">
        <x:v>0.73</x:v>
      </x:c>
      <x:c r="F35" s="36" t="n">
        <x:v>78.5</x:v>
      </x:c>
      <x:c r="G35" s="36" t="str">
        <x:v>кг/м²</x:v>
      </x:c>
      <x:c r="H35" s="36" t="n">
        <x:f>IF(E35="","",E35*1000/F35)</x:f>
        <x:v>9.299363057324841</x:v>
      </x:c>
      <x:c r="I35" s="37" t="str">
        <x:v>OK</x:v>
      </x:c>
    </x:row>
    <x:row r="36">
      <x:c r="A36" s="50" t="n">
        <x:v>35</x:v>
      </x:c>
      <x:c r="B36" s="51" t="str">
        <x:v>Связи вертикальные</x:v>
      </x:c>
      <x:c r="C36" s="51" t="str">
        <x:v>ГОСТ 8509-93 / 8510-86</x:v>
      </x:c>
      <x:c r="D36" s="51" t="str">
        <x:v>уголок 125×125×8</x:v>
      </x:c>
      <x:c r="E36" s="52" t="n">
        <x:v>9.65</x:v>
      </x:c>
      <x:c r="F36" s="52" t="n">
        <x:v>15.46</x:v>
      </x:c>
      <x:c r="G36" s="52" t="str">
        <x:v>кг/м</x:v>
      </x:c>
      <x:c r="H36" s="52" t="n">
        <x:f>IF(E36="","",E36*1000/F36)</x:f>
        <x:v>624.1914618369987</x:v>
      </x:c>
      <x:c r="I36" s="53" t="str">
        <x:v>Проверить 23met по ГОСТ 8509-93</x:v>
      </x:c>
    </x:row>
    <x:row r="37">
      <x:c r="A37" s="50" t="n">
        <x:v>36</x:v>
      </x:c>
      <x:c r="B37" s="51" t="str">
        <x:v>Связи вертикальные</x:v>
      </x:c>
      <x:c r="C37" s="51" t="str">
        <x:v>ГОСТ 30245-2003</x:v>
      </x:c>
      <x:c r="D37" s="51" t="str">
        <x:v>профиль 160×160×5</x:v>
      </x:c>
      <x:c r="E37" s="52" t="n">
        <x:v>2.86</x:v>
      </x:c>
      <x:c r="F37" s="52" t="n">
        <x:v>24.7</x:v>
      </x:c>
      <x:c r="G37" s="52" t="str">
        <x:v>кг/м</x:v>
      </x:c>
      <x:c r="H37" s="52" t="n">
        <x:f>IF(E37="","",E37*1000/F37)</x:f>
        <x:v>115.78947368421053</x:v>
      </x:c>
      <x:c r="I37" s="53" t="str">
        <x:v>Проверить 23met по ГОСТ 30245-2003</x:v>
      </x:c>
    </x:row>
    <x:row r="38">
      <x:c r="A38" s="50" t="n">
        <x:v>37</x:v>
      </x:c>
      <x:c r="B38" s="51" t="str">
        <x:v>Распорки и связи</x:v>
      </x:c>
      <x:c r="C38" s="51" t="str">
        <x:v>ГОСТ 30245-2003</x:v>
      </x:c>
      <x:c r="D38" s="51" t="str">
        <x:v>профиль 140×140×6</x:v>
      </x:c>
      <x:c r="E38" s="52" t="n">
        <x:v>10.12</x:v>
      </x:c>
      <x:c r="F38" s="52" t="n">
        <x:v>24.9</x:v>
      </x:c>
      <x:c r="G38" s="52" t="str">
        <x:v>кг/м</x:v>
      </x:c>
      <x:c r="H38" s="52" t="n">
        <x:f>IF(E38="","",E38*1000/F38)</x:f>
        <x:v>406.425702811245</x:v>
      </x:c>
      <x:c r="I38" s="53" t="str">
        <x:v>Проверить 23met по ГОСТ 30245-2003</x:v>
      </x:c>
    </x:row>
    <x:row r="39">
      <x:c r="A39" s="50" t="n">
        <x:v>38</x:v>
      </x:c>
      <x:c r="B39" s="51" t="str">
        <x:v>Распорки и связи</x:v>
      </x:c>
      <x:c r="C39" s="51" t="str">
        <x:v>ГОСТ 30245-2003</x:v>
      </x:c>
      <x:c r="D39" s="51" t="str">
        <x:v>профиль 120×120×5</x:v>
      </x:c>
      <x:c r="E39" s="52" t="n">
        <x:v>1.69</x:v>
      </x:c>
      <x:c r="F39" s="52" t="n">
        <x:v>17.39</x:v>
      </x:c>
      <x:c r="G39" s="52" t="str">
        <x:v>кг/м</x:v>
      </x:c>
      <x:c r="H39" s="52" t="n">
        <x:f>IF(E39="","",E39*1000/F39)</x:f>
        <x:v>97.18228867165037</x:v>
      </x:c>
      <x:c r="I39" s="53" t="str">
        <x:v>Проверить 23met по ГОСТ 30245-2003</x:v>
      </x:c>
    </x:row>
    <x:row r="40">
      <x:c r="A40" s="50" t="n">
        <x:v>39</x:v>
      </x:c>
      <x:c r="B40" s="51" t="str">
        <x:v>Связи вертикальные</x:v>
      </x:c>
      <x:c r="C40" s="51" t="str">
        <x:v>ГОСТ 30245-2003</x:v>
      </x:c>
      <x:c r="D40" s="51" t="str">
        <x:v>профиль 80×80×4</x:v>
      </x:c>
      <x:c r="E40" s="52" t="n">
        <x:v>0.757</x:v>
      </x:c>
      <x:c r="F40" s="52" t="n">
        <x:v>9.33</x:v>
      </x:c>
      <x:c r="G40" s="52" t="str">
        <x:v>кг/м</x:v>
      </x:c>
      <x:c r="H40" s="52" t="n">
        <x:f>IF(E40="","",E40*1000/F40)</x:f>
        <x:v>81.13612004287245</x:v>
      </x:c>
      <x:c r="I40" s="53" t="str">
        <x:v>Проверить 23met по ГОСТ 30245-2003</x:v>
      </x:c>
    </x:row>
    <x:row r="41">
      <x:c r="A41" s="50" t="n">
        <x:v>40</x:v>
      </x:c>
      <x:c r="B41" s="51" t="str">
        <x:v>Распорки и связи</x:v>
      </x:c>
      <x:c r="C41" s="51" t="str">
        <x:v>ГОСТ 30245-2003</x:v>
      </x:c>
      <x:c r="D41" s="51" t="str">
        <x:v>профиль 80×80×4</x:v>
      </x:c>
      <x:c r="E41" s="52" t="n">
        <x:v>13.66</x:v>
      </x:c>
      <x:c r="F41" s="52" t="n">
        <x:v>9.33</x:v>
      </x:c>
      <x:c r="G41" s="52" t="str">
        <x:v>кг/м</x:v>
      </x:c>
      <x:c r="H41" s="52" t="n">
        <x:f>IF(E41="","",E41*1000/F41)</x:f>
        <x:v>1464.0943193997857</x:v>
      </x:c>
      <x:c r="I41" s="53" t="str">
        <x:v>Проверить 23met по ГОСТ 30245-2003</x:v>
      </x:c>
    </x:row>
    <x:row r="42">
      <x:c r="A42" s="34" t="n">
        <x:v>41</x:v>
      </x:c>
      <x:c r="B42" s="35" t="str">
        <x:v>Распорки и связи</x:v>
      </x:c>
      <x:c r="C42" s="35" t="str">
        <x:v>ГОСТ 19903/19904</x:v>
      </x:c>
      <x:c r="D42" s="35" t="str">
        <x:v>лист 12</x:v>
      </x:c>
      <x:c r="E42" s="36" t="n">
        <x:v>0.76</x:v>
      </x:c>
      <x:c r="F42" s="36" t="n">
        <x:v>94.2</x:v>
      </x:c>
      <x:c r="G42" s="36" t="str">
        <x:v>кг/м²</x:v>
      </x:c>
      <x:c r="H42" s="36" t="n">
        <x:f>IF(E42="","",E42*1000/F42)</x:f>
        <x:v>8.067940552016985</x:v>
      </x:c>
      <x:c r="I42" s="37" t="str">
        <x:v>OK</x:v>
      </x:c>
    </x:row>
    <x:row r="43">
      <x:c r="A43" s="34" t="n">
        <x:v>42</x:v>
      </x:c>
      <x:c r="B43" s="35" t="str">
        <x:v>Распорки и связи</x:v>
      </x:c>
      <x:c r="C43" s="35" t="str">
        <x:v>ГОСТ 19903/19904</x:v>
      </x:c>
      <x:c r="D43" s="35" t="str">
        <x:v>лист 10</x:v>
      </x:c>
      <x:c r="E43" s="36" t="n">
        <x:v>2.64</x:v>
      </x:c>
      <x:c r="F43" s="36" t="n">
        <x:v>78.5</x:v>
      </x:c>
      <x:c r="G43" s="36" t="str">
        <x:v>кг/м²</x:v>
      </x:c>
      <x:c r="H43" s="36" t="n">
        <x:f>IF(E43="","",E43*1000/F43)</x:f>
        <x:v>33.63057324840764</x:v>
      </x:c>
      <x:c r="I43" s="37" t="str">
        <x:v>OK</x:v>
      </x:c>
    </x:row>
    <x:row r="44">
      <x:c r="A44" s="34" t="n">
        <x:v>43</x:v>
      </x:c>
      <x:c r="B44" s="35" t="str">
        <x:v>Распорки и связи</x:v>
      </x:c>
      <x:c r="C44" s="35" t="str">
        <x:v>ГОСТ 19903/19904</x:v>
      </x:c>
      <x:c r="D44" s="35" t="str">
        <x:v>лист 8</x:v>
      </x:c>
      <x:c r="E44" s="36" t="n">
        <x:v>0.9</x:v>
      </x:c>
      <x:c r="F44" s="36" t="n">
        <x:v>62.8</x:v>
      </x:c>
      <x:c r="G44" s="36" t="str">
        <x:v>кг/м²</x:v>
      </x:c>
      <x:c r="H44" s="36" t="n">
        <x:f>IF(E44="","",E44*1000/F44)</x:f>
        <x:v>14.331210191082803</x:v>
      </x:c>
      <x:c r="I44" s="37" t="str">
        <x:v>OK</x:v>
      </x:c>
    </x:row>
    <x:row r="45">
      <x:c r="A45" s="34" t="n">
        <x:v>44</x:v>
      </x:c>
      <x:c r="B45" s="35" t="str">
        <x:v>Распорки и связи</x:v>
      </x:c>
      <x:c r="C45" s="35" t="str">
        <x:v>ГОСТ 19903/19904</x:v>
      </x:c>
      <x:c r="D45" s="35" t="str">
        <x:v>лист 6</x:v>
      </x:c>
      <x:c r="E45" s="36" t="n">
        <x:v>0.43</x:v>
      </x:c>
      <x:c r="F45" s="36" t="n">
        <x:v>47.1</x:v>
      </x:c>
      <x:c r="G45" s="36" t="str">
        <x:v>кг/м²</x:v>
      </x:c>
      <x:c r="H45" s="36" t="n">
        <x:f>IF(E45="","",E45*1000/F45)</x:f>
        <x:v>9.129511677282377</x:v>
      </x:c>
      <x:c r="I45" s="37" t="str">
        <x:v>OK</x:v>
      </x:c>
    </x:row>
    <x:row r="46">
      <x:c r="A46" s="34" t="n">
        <x:v>45</x:v>
      </x:c>
      <x:c r="B46" s="35" t="str">
        <x:v>Опоры дымовых труб</x:v>
      </x:c>
      <x:c r="C46" s="35" t="str">
        <x:v>ГОСТ 8240-97</x:v>
      </x:c>
      <x:c r="D46" s="35" t="str">
        <x:v>швеллер 16П</x:v>
      </x:c>
      <x:c r="E46" s="36" t="n">
        <x:v>9.34</x:v>
      </x:c>
      <x:c r="F46" s="36" t="n">
        <x:v>14.2</x:v>
      </x:c>
      <x:c r="G46" s="36" t="str">
        <x:v>кг/м</x:v>
      </x:c>
      <x:c r="H46" s="36" t="n">
        <x:f>IF(E46="","",E46*1000/F46)</x:f>
        <x:v>657.7464788732394</x:v>
      </x:c>
      <x:c r="I46" s="37" t="str">
        <x:v>OK</x:v>
      </x:c>
    </x:row>
    <x:row r="47">
      <x:c r="A47" s="34" t="n">
        <x:v>46</x:v>
      </x:c>
      <x:c r="B47" s="35" t="str">
        <x:v>Опоры дымовых труб</x:v>
      </x:c>
      <x:c r="C47" s="35" t="str">
        <x:v>ГОСТ 19903/19904</x:v>
      </x:c>
      <x:c r="D47" s="35" t="str">
        <x:v>лист 8</x:v>
      </x:c>
      <x:c r="E47" s="36" t="n">
        <x:v>0.31</x:v>
      </x:c>
      <x:c r="F47" s="36" t="n">
        <x:v>62.8</x:v>
      </x:c>
      <x:c r="G47" s="36" t="str">
        <x:v>кг/м²</x:v>
      </x:c>
      <x:c r="H47" s="36" t="n">
        <x:f>IF(E47="","",E47*1000/F47)</x:f>
        <x:v>4.936305732484077</x:v>
      </x:c>
      <x:c r="I47" s="37" t="str">
        <x:v>OK</x:v>
      </x:c>
    </x:row>
    <x:row r="48">
      <x:c r="A48" s="50" t="n">
        <x:v>47</x:v>
      </x:c>
      <x:c r="B48" s="51" t="str">
        <x:v>Фахверк</x:v>
      </x:c>
      <x:c r="C48" s="51" t="str">
        <x:v>ГОСТ 8509-93 / 8510-86</x:v>
      </x:c>
      <x:c r="D48" s="51" t="str">
        <x:v>уголок 125×125×8</x:v>
      </x:c>
      <x:c r="E48" s="52" t="n">
        <x:v>1.88</x:v>
      </x:c>
      <x:c r="F48" s="52" t="n">
        <x:v>15.46</x:v>
      </x:c>
      <x:c r="G48" s="52" t="str">
        <x:v>кг/м</x:v>
      </x:c>
      <x:c r="H48" s="52" t="n">
        <x:f>IF(E48="","",E48*1000/F48)</x:f>
        <x:v>121.60413971539457</x:v>
      </x:c>
      <x:c r="I48" s="53" t="str">
        <x:v>Проверить 23met по ГОСТ 8509-93</x:v>
      </x:c>
    </x:row>
    <x:row r="49">
      <x:c r="A49" s="50" t="n">
        <x:v>48</x:v>
      </x:c>
      <x:c r="B49" s="51" t="str">
        <x:v>Фахверк</x:v>
      </x:c>
      <x:c r="C49" s="51" t="str">
        <x:v>ГОСТ 30245-2003</x:v>
      </x:c>
      <x:c r="D49" s="51" t="str">
        <x:v>профиль 160×160×4</x:v>
      </x:c>
      <x:c r="E49" s="52" t="n">
        <x:v>5.841</x:v>
      </x:c>
      <x:c r="F49" s="52" t="n">
        <x:v>19.93</x:v>
      </x:c>
      <x:c r="G49" s="52" t="str">
        <x:v>кг/м</x:v>
      </x:c>
      <x:c r="H49" s="52" t="n">
        <x:f>IF(E49="","",E49*1000/F49)</x:f>
        <x:v>293.07576517812345</x:v>
      </x:c>
      <x:c r="I49" s="53" t="str">
        <x:v>Проверить 23met по ГОСТ 30245-2003</x:v>
      </x:c>
    </x:row>
    <x:row r="50">
      <x:c r="A50" s="50" t="n">
        <x:v>49</x:v>
      </x:c>
      <x:c r="B50" s="51" t="str">
        <x:v>Фахверк</x:v>
      </x:c>
      <x:c r="C50" s="51" t="str">
        <x:v>ГОСТ 30245-2003</x:v>
      </x:c>
      <x:c r="D50" s="51" t="str">
        <x:v>профиль 160×160×4</x:v>
      </x:c>
      <x:c r="E50" s="52" t="n">
        <x:v>42.37</x:v>
      </x:c>
      <x:c r="F50" s="52" t="n">
        <x:v>19.93</x:v>
      </x:c>
      <x:c r="G50" s="52" t="str">
        <x:v>кг/м</x:v>
      </x:c>
      <x:c r="H50" s="52" t="n">
        <x:f>IF(E50="","",E50*1000/F50)</x:f>
        <x:v>2125.9407927747116</x:v>
      </x:c>
      <x:c r="I50" s="53" t="str">
        <x:v>Проверить 23met по ГОСТ 30245-2003</x:v>
      </x:c>
    </x:row>
    <x:row r="51">
      <x:c r="A51" s="50" t="n">
        <x:v>50</x:v>
      </x:c>
      <x:c r="B51" s="51" t="str">
        <x:v>Фахверк</x:v>
      </x:c>
      <x:c r="C51" s="51" t="str">
        <x:v>ГОСТ 8509-93 / 8510-86</x:v>
      </x:c>
      <x:c r="D51" s="51" t="str">
        <x:v>уголок 160×160×10</x:v>
      </x:c>
      <x:c r="E51" s="52" t="n">
        <x:v>0.17</x:v>
      </x:c>
      <x:c r="F51" s="52" t="n">
        <x:v>24.67</x:v>
      </x:c>
      <x:c r="G51" s="52" t="str">
        <x:v>кг/м</x:v>
      </x:c>
      <x:c r="H51" s="52" t="n">
        <x:f>IF(E51="","",E51*1000/F51)</x:f>
        <x:v>6.890960680989055</x:v>
      </x:c>
      <x:c r="I51" s="53" t="str">
        <x:v>Проверить 23met по ГОСТ 8509-93</x:v>
      </x:c>
    </x:row>
    <x:row r="52">
      <x:c r="A52" s="34" t="n">
        <x:v>51</x:v>
      </x:c>
      <x:c r="B52" s="35" t="str">
        <x:v>Фахверк</x:v>
      </x:c>
      <x:c r="C52" s="35" t="str">
        <x:v>ГОСТ 19903/19904</x:v>
      </x:c>
      <x:c r="D52" s="35" t="str">
        <x:v>лист 16</x:v>
      </x:c>
      <x:c r="E52" s="36" t="n">
        <x:v>1.03</x:v>
      </x:c>
      <x:c r="F52" s="36" t="n">
        <x:v>125.6</x:v>
      </x:c>
      <x:c r="G52" s="36" t="str">
        <x:v>кг/м²</x:v>
      </x:c>
      <x:c r="H52" s="36" t="n">
        <x:f>IF(E52="","",E52*1000/F52)</x:f>
        <x:v>8.20063694267516</x:v>
      </x:c>
      <x:c r="I52" s="37" t="str">
        <x:v>OK</x:v>
      </x:c>
    </x:row>
    <x:row r="53">
      <x:c r="A53" s="34" t="n">
        <x:v>52</x:v>
      </x:c>
      <x:c r="B53" s="35" t="str">
        <x:v>Фахверк</x:v>
      </x:c>
      <x:c r="C53" s="35" t="str">
        <x:v>ГОСТ 19903/19904</x:v>
      </x:c>
      <x:c r="D53" s="35" t="str">
        <x:v>лист 10</x:v>
      </x:c>
      <x:c r="E53" s="36" t="n">
        <x:v>2.28</x:v>
      </x:c>
      <x:c r="F53" s="36" t="n">
        <x:v>78.5</x:v>
      </x:c>
      <x:c r="G53" s="36" t="str">
        <x:v>кг/м²</x:v>
      </x:c>
      <x:c r="H53" s="36" t="n">
        <x:f>IF(E53="","",E53*1000/F53)</x:f>
        <x:v>29.044585987261147</x:v>
      </x:c>
      <x:c r="I53" s="37" t="str">
        <x:v>OK</x:v>
      </x:c>
    </x:row>
    <x:row r="54">
      <x:c r="A54" s="34" t="n">
        <x:v>53</x:v>
      </x:c>
      <x:c r="B54" s="35" t="str">
        <x:v>Фахверк</x:v>
      </x:c>
      <x:c r="C54" s="35" t="str">
        <x:v>ГОСТ 19903/19904</x:v>
      </x:c>
      <x:c r="D54" s="35" t="str">
        <x:v>лист 8</x:v>
      </x:c>
      <x:c r="E54" s="36" t="n">
        <x:v>0.15</x:v>
      </x:c>
      <x:c r="F54" s="36" t="n">
        <x:v>62.8</x:v>
      </x:c>
      <x:c r="G54" s="36" t="str">
        <x:v>кг/м²</x:v>
      </x:c>
      <x:c r="H54" s="36" t="n">
        <x:f>IF(E54="","",E54*1000/F54)</x:f>
        <x:v>2.388535031847134</x:v>
      </x:c>
      <x:c r="I54" s="37" t="str">
        <x:v>OK</x:v>
      </x:c>
    </x:row>
    <x:row r="55">
      <x:c r="A55" s="34" t="n">
        <x:v>54</x:v>
      </x:c>
      <x:c r="B55" s="35" t="str">
        <x:v>Фахверк</x:v>
      </x:c>
      <x:c r="C55" s="35" t="str">
        <x:v>ГОСТ 19903/19904</x:v>
      </x:c>
      <x:c r="D55" s="35" t="str">
        <x:v>лист 4</x:v>
      </x:c>
      <x:c r="E55" s="36" t="n">
        <x:v>0.27</x:v>
      </x:c>
      <x:c r="F55" s="36" t="n">
        <x:v>31.4</x:v>
      </x:c>
      <x:c r="G55" s="36" t="str">
        <x:v>кг/м²</x:v>
      </x:c>
      <x:c r="H55" s="36" t="n">
        <x:f>IF(E55="","",E55*1000/F55)</x:f>
        <x:v>8.598726114649683</x:v>
      </x:c>
      <x:c r="I55" s="37" t="str">
        <x:v>OK</x:v>
      </x:c>
    </x:row>
    <x:row r="56">
      <x:c r="A56" s="34" t="n">
        <x:v>55</x:v>
      </x:c>
      <x:c r="B56" s="35" t="str">
        <x:v>Фахверк</x:v>
      </x:c>
      <x:c r="C56" s="35" t="str">
        <x:v>ГОСТ 19903/19904</x:v>
      </x:c>
      <x:c r="D56" s="35" t="str">
        <x:v>лист 2</x:v>
      </x:c>
      <x:c r="E56" s="36" t="n">
        <x:v>1.48</x:v>
      </x:c>
      <x:c r="F56" s="36" t="n">
        <x:v>15.7</x:v>
      </x:c>
      <x:c r="G56" s="36" t="str">
        <x:v>кг/м²</x:v>
      </x:c>
      <x:c r="H56" s="36" t="n">
        <x:f>IF(E56="","",E56*1000/F56)</x:f>
        <x:v>94.26751592356689</x:v>
      </x:c>
      <x:c r="I56" s="37" t="str">
        <x:v>OK</x:v>
      </x:c>
    </x:row>
    <x:row r="57">
      <x:c r="A57" s="50" t="n">
        <x:v>56</x:v>
      </x:c>
      <x:c r="B57" s="51" t="str">
        <x:v>Стойки фахверка</x:v>
      </x:c>
      <x:c r="C57" s="51" t="str">
        <x:v>ГОСТ 30245-2003</x:v>
      </x:c>
      <x:c r="D57" s="51" t="str">
        <x:v>профиль 200×200×8</x:v>
      </x:c>
      <x:c r="E57" s="52" t="n">
        <x:v>2.05</x:v>
      </x:c>
      <x:c r="F57" s="52" t="n">
        <x:v>47.8</x:v>
      </x:c>
      <x:c r="G57" s="52" t="str">
        <x:v>кг/м</x:v>
      </x:c>
      <x:c r="H57" s="52" t="n">
        <x:f>IF(E57="","",E57*1000/F57)</x:f>
        <x:v>42.887029288702934</x:v>
      </x:c>
      <x:c r="I57" s="53" t="str">
        <x:v>Проверить 23met по ГОСТ 30245-2003</x:v>
      </x:c>
    </x:row>
    <x:row r="58">
      <x:c r="A58" s="50" t="n">
        <x:v>57</x:v>
      </x:c>
      <x:c r="B58" s="51" t="str">
        <x:v>Стойки фахверка</x:v>
      </x:c>
      <x:c r="C58" s="51" t="str">
        <x:v>ГОСТ 30245-2003</x:v>
      </x:c>
      <x:c r="D58" s="51" t="str">
        <x:v>профиль 160×160×4</x:v>
      </x:c>
      <x:c r="E58" s="52" t="n">
        <x:v>0.303</x:v>
      </x:c>
      <x:c r="F58" s="52" t="n">
        <x:v>19.93</x:v>
      </x:c>
      <x:c r="G58" s="52" t="str">
        <x:v>кг/м</x:v>
      </x:c>
      <x:c r="H58" s="52" t="n">
        <x:f>IF(E58="","",E58*1000/F58)</x:f>
        <x:v>15.203211239337682</x:v>
      </x:c>
      <x:c r="I58" s="53" t="str">
        <x:v>Проверить 23met по ГОСТ 30245-2003</x:v>
      </x:c>
    </x:row>
    <x:row r="59">
      <x:c r="A59" s="50" t="n">
        <x:v>58</x:v>
      </x:c>
      <x:c r="B59" s="51" t="str">
        <x:v>Стойки фахверка</x:v>
      </x:c>
      <x:c r="C59" s="51" t="str">
        <x:v>ГОСТ 30245-2003</x:v>
      </x:c>
      <x:c r="D59" s="51" t="str">
        <x:v>профиль 120×120×4</x:v>
      </x:c>
      <x:c r="E59" s="52" t="n">
        <x:v>0.08</x:v>
      </x:c>
      <x:c r="F59" s="52" t="n">
        <x:v>14.75</x:v>
      </x:c>
      <x:c r="G59" s="52" t="str">
        <x:v>кг/м</x:v>
      </x:c>
      <x:c r="H59" s="52" t="n">
        <x:f>IF(E59="","",E59*1000/F59)</x:f>
        <x:v>5.423728813559322</x:v>
      </x:c>
      <x:c r="I59" s="53" t="str">
        <x:v>Проверить 23met по ГОСТ 30245-2003</x:v>
      </x:c>
    </x:row>
    <x:row r="60">
      <x:c r="A60" s="34" t="n">
        <x:v>59</x:v>
      </x:c>
      <x:c r="B60" s="35" t="str">
        <x:v>Стойки фахверка</x:v>
      </x:c>
      <x:c r="C60" s="35" t="str">
        <x:v>ГОСТ 19903/19904</x:v>
      </x:c>
      <x:c r="D60" s="35" t="str">
        <x:v>лист 20</x:v>
      </x:c>
      <x:c r="E60" s="36" t="n">
        <x:v>0.2</x:v>
      </x:c>
      <x:c r="F60" s="36" t="n">
        <x:v>157</x:v>
      </x:c>
      <x:c r="G60" s="36" t="str">
        <x:v>кг/м²</x:v>
      </x:c>
      <x:c r="H60" s="36" t="n">
        <x:f>IF(E60="","",E60*1000/F60)</x:f>
        <x:v>1.2738853503184713</x:v>
      </x:c>
      <x:c r="I60" s="37" t="str">
        <x:v>OK</x:v>
      </x:c>
    </x:row>
    <x:row r="61">
      <x:c r="A61" s="38" t="n">
        <x:v>60</x:v>
      </x:c>
      <x:c r="B61" s="39" t="str">
        <x:v>Стойки фахверка</x:v>
      </x:c>
      <x:c r="C61" s="39" t="str">
        <x:v>ГОСТ 19903/19904</x:v>
      </x:c>
      <x:c r="D61" s="39" t="str">
        <x:v>лист 8</x:v>
      </x:c>
      <x:c r="E61" s="40" t="n">
        <x:v>0.09</x:v>
      </x:c>
      <x:c r="F61" s="40" t="n">
        <x:v>62.8</x:v>
      </x:c>
      <x:c r="G61" s="40" t="str">
        <x:v>кг/м²</x:v>
      </x:c>
      <x:c r="H61" s="40" t="n">
        <x:f>IF(E61="","",E61*1000/F61)</x:f>
        <x:v>1.4331210191082804</x:v>
      </x:c>
      <x:c r="I61" s="41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ac289c6e43bb45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2" t="str">
        <x:v>Наименование конструкций</x:v>
      </x:c>
      <x:c r="B1" s="13" t="str">
        <x:v>Масса, т</x:v>
      </x:c>
      <x:c r="C1" s="13" t="str">
        <x:v>Длина профилей, м</x:v>
      </x:c>
      <x:c r="D1" s="14" t="str">
        <x:v>Площадь листов, м²</x:v>
      </x:c>
    </x:row>
    <x:row r="2">
      <x:c r="A2" s="15" t="str">
        <x:v>Элементы надколонников</x:v>
      </x:c>
      <x:c r="B2" s="30" t="n">
        <x:v>22.27</x:v>
      </x:c>
      <x:c r="C2" s="30"/>
      <x:c r="D2" s="58" t="n">
        <x:v>165.68</x:v>
      </x:c>
    </x:row>
    <x:row r="3">
      <x:c r="A3" s="15" t="str">
        <x:v>Колонны, стойки</x:v>
      </x:c>
      <x:c r="B3" s="30" t="n">
        <x:v>1.9</x:v>
      </x:c>
      <x:c r="C3" s="30" t="n">
        <x:v>28.87</x:v>
      </x:c>
      <x:c r="D3" s="58" t="n">
        <x:v>3.89</x:v>
      </x:c>
    </x:row>
    <x:row r="4">
      <x:c r="A4" s="15" t="str">
        <x:v>Балки перекрытия антресолей</x:v>
      </x:c>
      <x:c r="B4" s="30" t="n">
        <x:v>8.02</x:v>
      </x:c>
      <x:c r="C4" s="30" t="n">
        <x:v>138.45</x:v>
      </x:c>
      <x:c r="D4" s="58"/>
    </x:row>
    <x:row r="5">
      <x:c r="A5" s="15" t="str">
        <x:v>Балки перекрытия</x:v>
      </x:c>
      <x:c r="B5" s="30" t="n">
        <x:v>50.48</x:v>
      </x:c>
      <x:c r="C5" s="30" t="n">
        <x:v>601.73</x:v>
      </x:c>
      <x:c r="D5" s="58" t="n">
        <x:v>8.15</x:v>
      </x:c>
    </x:row>
    <x:row r="6">
      <x:c r="A6" s="15" t="str">
        <x:v>Балки стропильные</x:v>
      </x:c>
      <x:c r="B6" s="30" t="n">
        <x:v>40.55</x:v>
      </x:c>
      <x:c r="C6" s="30" t="n">
        <x:v>457.63</x:v>
      </x:c>
      <x:c r="D6" s="58" t="n">
        <x:v>20.21</x:v>
      </x:c>
    </x:row>
    <x:row r="7">
      <x:c r="A7" s="15" t="str">
        <x:v>Балки подстропильные</x:v>
      </x:c>
      <x:c r="B7" s="30" t="n">
        <x:v>115.71</x:v>
      </x:c>
      <x:c r="C7" s="30" t="n">
        <x:v>1157.89</x:v>
      </x:c>
      <x:c r="D7" s="58" t="n">
        <x:v>37.44</x:v>
      </x:c>
    </x:row>
    <x:row r="8">
      <x:c r="A8" s="15" t="str">
        <x:v>Фермы</x:v>
      </x:c>
      <x:c r="B8" s="30" t="n">
        <x:v>113.96</x:v>
      </x:c>
      <x:c r="C8" s="30" t="n">
        <x:v>4901.07</x:v>
      </x:c>
      <x:c r="D8" s="58" t="n">
        <x:v>61.46</x:v>
      </x:c>
    </x:row>
    <x:row r="9">
      <x:c r="A9" s="15" t="str">
        <x:v>Связи вертикальные</x:v>
      </x:c>
      <x:c r="B9" s="30" t="n">
        <x:v>13.267</x:v>
      </x:c>
      <x:c r="C9" s="30" t="n">
        <x:v>821.12</x:v>
      </x:c>
      <x:c r="D9" s="58"/>
    </x:row>
    <x:row r="10">
      <x:c r="A10" s="15" t="str">
        <x:v>Распорки и связи</x:v>
      </x:c>
      <x:c r="B10" s="30" t="n">
        <x:v>30.2</x:v>
      </x:c>
      <x:c r="C10" s="30" t="n">
        <x:v>1967.7</x:v>
      </x:c>
      <x:c r="D10" s="58" t="n">
        <x:v>65.16</x:v>
      </x:c>
    </x:row>
    <x:row r="11">
      <x:c r="A11" s="15" t="str">
        <x:v>Опоры дымовых труб</x:v>
      </x:c>
      <x:c r="B11" s="30" t="n">
        <x:v>9.65</x:v>
      </x:c>
      <x:c r="C11" s="30" t="n">
        <x:v>657.75</x:v>
      </x:c>
      <x:c r="D11" s="58" t="n">
        <x:v>4.94</x:v>
      </x:c>
    </x:row>
    <x:row r="12">
      <x:c r="A12" s="15" t="str">
        <x:v>Фахверк</x:v>
      </x:c>
      <x:c r="B12" s="30" t="n">
        <x:v>55.471</x:v>
      </x:c>
      <x:c r="C12" s="30" t="n">
        <x:v>2547.51</x:v>
      </x:c>
      <x:c r="D12" s="58" t="n">
        <x:v>142.5</x:v>
      </x:c>
    </x:row>
    <x:row r="13">
      <x:c r="A13" s="15" t="str">
        <x:v>Стойки фахверка</x:v>
      </x:c>
      <x:c r="B13" s="30" t="n">
        <x:v>2.723</x:v>
      </x:c>
      <x:c r="C13" s="30" t="n">
        <x:v>63.51</x:v>
      </x:c>
      <x:c r="D13" s="58" t="n">
        <x:v>2.71</x:v>
      </x:c>
    </x:row>
    <x:row r="14">
      <x:c r="A14" s="18" t="str">
        <x:v>ИТОГО</x:v>
      </x:c>
      <x:c r="B14" s="31" t="n">
        <x:v>464.201</x:v>
      </x:c>
      <x:c r="C14" s="31" t="n">
        <x:v>13343.25</x:v>
      </x:c>
      <x:c r="D14" s="59" t="n">
        <x:v>512.14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2" t="str">
        <x:v>Параметр</x:v>
      </x:c>
      <x:c r="B1" s="14" t="str">
        <x:v>Значение</x:v>
      </x:c>
    </x:row>
    <x:row r="2">
      <x:c r="A2" s="15" t="str">
        <x:v>Исходный PDF</x:v>
      </x:c>
      <x:c r="B2" s="17" t="str">
        <x:v>18-Stroitelstvo-universalnogo-krytogo-rynka_-raspolozhennogo-po-adresu-_1_-14-15.pdf</x:v>
      </x:c>
    </x:row>
    <x:row r="3">
      <x:c r="A3" s="15" t="str">
        <x:v>Тип исходной таблицы</x:v>
      </x:c>
      <x:c r="B3" s="17" t="str">
        <x:v>Нестандартная ведомость огнезащиты: конструктивная группа + элемент + масса в графе «всего».</x:v>
      </x:c>
    </x:row>
    <x:row r="4">
      <x:c r="A4" s="15" t="str">
        <x:v>Формула профилей</x:v>
      </x:c>
      <x:c r="B4" s="17" t="str">
        <x:v>Длина, м = масса, т × 1000 / удельная масса, кг/м</x:v>
      </x:c>
    </x:row>
    <x:row r="5">
      <x:c r="A5" s="15" t="str">
        <x:v>Формула листов</x:v>
      </x:c>
      <x:c r="B5" s="17" t="str">
        <x:v>Площадь, м² = масса, т × 1000 / (7,85 × толщина листа), кг/м²</x:v>
      </x:c>
    </x:row>
    <x:row r="6">
      <x:c r="A6" s="15" t="str">
        <x:v>Жёлтая заливка</x:v>
      </x:c>
      <x:c r="B6" s="17" t="str">
        <x:v>Удельная масса профиля принята справочно и требует проверки по 23met с учетом ГОСТ.</x:v>
      </x:c>
    </x:row>
    <x:row r="7">
      <x:c r="A7" s="15" t="str">
        <x:v>Контроль исходной массы</x:v>
      </x:c>
      <x:c r="B7" s="17" t="str">
        <x:v>Страница 1: 387,9 т; страница 2: 58,19 т; суммарно: 446,09 т.</x:v>
      </x:c>
    </x:row>
    <x:row r="8">
      <x:c r="A8" s="18" t="str">
        <x:v>Особенность</x:v>
      </x:c>
      <x:c r="B8" s="20" t="str">
        <x:v>Строки с одним профилем, но разными пределами огнестойкости сохранены раздельно, как в исходной таблице.</x:v>
      </x:c>
    </x:row>
  </x:sheetData>
  <x:pageMargins left="0.7" right="0.7" top="0.75" bottom="0.75" header="0.3" footer="0.3"/>
</x:worksheet>
</file>