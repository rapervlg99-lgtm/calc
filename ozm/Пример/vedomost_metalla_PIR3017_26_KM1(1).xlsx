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e60a94b3d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едомость" sheetId="1" r:id="R2165a16ab6be405f"/>
    <x:sheet xmlns:r="http://schemas.openxmlformats.org/officeDocument/2006/relationships" name="Сводка" sheetId="2" r:id="R150153882eac47f1"/>
    <x:sheet xmlns:r="http://schemas.openxmlformats.org/officeDocument/2006/relationships" name="Источники_и_заметки" sheetId="3" r:id="R961e33f820d4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200" fontId="0" fillId="3" borderId="6" xfId="0" applyNumberFormat="1" applyFont="1" applyFill="1" applyBorder="1" applyAlignment="1">
      <x:alignment wrapText="1"/>
    </x:xf>
    <x:xf numFmtId="200" fontId="0" fillId="3" borderId="7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200" fontId="0" fillId="3" borderId="15" xfId="0" applyNumberFormat="1" applyFont="1" applyFill="1" applyBorder="1" applyAlignment="1">
      <x:alignment wrapText="1"/>
    </x:xf>
    <x:xf numFmtId="200" fontId="0" fillId="3" borderId="16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200" fontId="0" fillId="3" borderId="9" xfId="0" applyNumberFormat="1" applyFont="1" applyFill="1" applyBorder="1" applyAlignment="1">
      <x:alignment wrapText="1"/>
    </x:xf>
    <x:xf numFmtId="200" fontId="0" fillId="3" borderId="10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200" fontId="0" fillId="3" borderId="18" xfId="0" applyNumberFormat="1" applyFont="1" applyFill="1" applyBorder="1" applyAlignment="1">
      <x:alignment wrapText="1"/>
    </x:xf>
    <x:xf numFmtId="200" fontId="0" fillId="3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59531d4ff43f3" /><Relationship Type="http://schemas.openxmlformats.org/officeDocument/2006/relationships/theme" Target="/xl/theme/theme1.xml" Id="Rc44c06ab329a4952" /><Relationship Type="http://schemas.openxmlformats.org/officeDocument/2006/relationships/sharedStrings" Target="/xl/sharedStrings.xml" Id="R69b1c1a1fbdd4ab9" /><Relationship Type="http://schemas.openxmlformats.org/officeDocument/2006/relationships/worksheet" Target="/xl/worksheets/sheet1.xml" Id="R2165a16ab6be405f" /><Relationship Type="http://schemas.openxmlformats.org/officeDocument/2006/relationships/worksheet" Target="/xl/worksheets/sheet2.xml" Id="R150153882eac47f1" /><Relationship Type="http://schemas.openxmlformats.org/officeDocument/2006/relationships/worksheet" Target="/xl/worksheets/sheet3.xml" Id="R961e33f820d44066" /></Relationships>
</file>

<file path=xl/tables/table1.xml><?xml version="1.0" encoding="utf-8"?>
<x:table xmlns:x="http://schemas.openxmlformats.org/spreadsheetml/2006/main" id="1" name="PIR3017MetalTable" displayName="PIR3017MetalTable" ref="A1:AE52" headerRowCount="1">
  <x:tableColumns count="31">
    <x:tableColumn id="1" name="Группа"/>
    <x:tableColumn id="2" name="Тип"/>
    <x:tableColumn id="3" name="Профиль"/>
    <x:tableColumn id="4" name="ГОСТ"/>
    <x:tableColumn id="5" name="Марка стали"/>
    <x:tableColumn id="6" name="Уд. масса"/>
    <x:tableColumn id="7" name="Ед."/>
    <x:tableColumn id="8" name="Колонны, т"/>
    <x:tableColumn id="9" name="Колонны, м/м²"/>
    <x:tableColumn id="10" name="Балки, т"/>
    <x:tableColumn id="11" name="Балки, м/м²"/>
    <x:tableColumn id="12" name="Связи вертикальные, т"/>
    <x:tableColumn id="13" name="Связи вертикальные, м/м²"/>
    <x:tableColumn id="14" name="Связи горизонтальные, т"/>
    <x:tableColumn id="15" name="Связи горизонтальные, м/м²"/>
    <x:tableColumn id="16" name="Фермы, т"/>
    <x:tableColumn id="17" name="Фермы, м/м²"/>
    <x:tableColumn id="18" name="Фахверк, т"/>
    <x:tableColumn id="19" name="Фахверк, м/м²"/>
    <x:tableColumn id="20" name="Прогоны, т"/>
    <x:tableColumn id="21" name="Прогоны, м/м²"/>
    <x:tableColumn id="22" name="Крановые конструкции, т"/>
    <x:tableColumn id="23" name="Крановые конструкции, м/м²"/>
    <x:tableColumn id="24" name="Настил, т"/>
    <x:tableColumn id="25" name="Настил, м/м²"/>
    <x:tableColumn id="26" name="Лестницы, т"/>
    <x:tableColumn id="27" name="Лестницы, м/м²"/>
    <x:tableColumn id="28" name="Ограждения, т"/>
    <x:tableColumn id="29" name="Ограждения, м/м²"/>
    <x:tableColumn id="30" name="Общая масса, т"/>
    <x:tableColumn id="31" name="Статус проверк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ded10cc3ab4b3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18" hidden="0" customWidth="1"/>
    <x:col min="4" max="4" width="23" hidden="0" customWidth="1"/>
    <x:col min="5" max="5" width="18" hidden="0" customWidth="1"/>
    <x:col min="6" max="6" width="11" hidden="0" customWidth="1"/>
    <x:col min="7" max="7" width="11" hidden="0" customWidth="1"/>
    <x:col min="8" max="8" width="16" hidden="0" customWidth="1"/>
    <x:col min="10" max="10" width="16" hidden="0" customWidth="1"/>
    <x:col min="12" max="12" width="16" hidden="0" customWidth="1"/>
    <x:col min="14" max="14" width="16" hidden="0" customWidth="1"/>
    <x:col min="16" max="16" width="16" hidden="0" customWidth="1"/>
    <x:col min="18" max="18" width="16" hidden="0" customWidth="1"/>
    <x:col min="20" max="20" width="16" hidden="0" customWidth="1"/>
    <x:col min="22" max="22" width="16" hidden="0" customWidth="1"/>
    <x:col min="24" max="24" width="16" hidden="0" customWidth="1"/>
    <x:col min="26" max="26" width="16" hidden="0" customWidth="1"/>
    <x:col min="28" max="28" width="16" hidden="0" customWidth="1"/>
    <x:col min="9" max="9" width="16" hidden="0" customWidth="1"/>
    <x:col min="11" max="11" width="16" hidden="0" customWidth="1"/>
    <x:col min="13" max="13" width="16" hidden="0" customWidth="1"/>
    <x:col min="15" max="15" width="16" hidden="0" customWidth="1"/>
    <x:col min="17" max="17" width="16" hidden="0" customWidth="1"/>
    <x:col min="19" max="19" width="16" hidden="0" customWidth="1"/>
    <x:col min="21" max="21" width="16" hidden="0" customWidth="1"/>
    <x:col min="23" max="23" width="16" hidden="0" customWidth="1"/>
    <x:col min="25" max="25" width="16" hidden="0" customWidth="1"/>
    <x:col min="27" max="27" width="16" hidden="0" customWidth="1"/>
    <x:col min="29" max="29" width="16" hidden="0" customWidth="1"/>
    <x:col min="30" max="30" width="16" hidden="0" customWidth="1"/>
    <x:col min="31" max="31" width="46" hidden="0" customWidth="1"/>
  </x:cols>
  <x:sheetData>
    <x:row r="1">
      <x:c r="A1" s="12" t="str">
        <x:v>Группа</x:v>
      </x:c>
      <x:c r="B1" s="13" t="str">
        <x:v>Тип</x:v>
      </x:c>
      <x:c r="C1" s="13" t="str">
        <x:v>Профиль</x:v>
      </x:c>
      <x:c r="D1" s="13" t="str">
        <x:v>ГОСТ</x:v>
      </x:c>
      <x:c r="E1" s="13" t="str">
        <x:v>Марка стали</x:v>
      </x:c>
      <x:c r="F1" s="13" t="str">
        <x:v>Уд. масса</x:v>
      </x:c>
      <x:c r="G1" s="13" t="str">
        <x:v>Ед.</x:v>
      </x:c>
      <x:c r="H1" s="13" t="str">
        <x:v>Колонны, т</x:v>
      </x:c>
      <x:c r="I1" s="13" t="str">
        <x:v>Колонны, м/м²</x:v>
      </x:c>
      <x:c r="J1" s="13" t="str">
        <x:v>Балки, т</x:v>
      </x:c>
      <x:c r="K1" s="13" t="str">
        <x:v>Балки, м/м²</x:v>
      </x:c>
      <x:c r="L1" s="13" t="str">
        <x:v>Связи вертикальные, т</x:v>
      </x:c>
      <x:c r="M1" s="13" t="str">
        <x:v>Связи вертикальные, м/м²</x:v>
      </x:c>
      <x:c r="N1" s="13" t="str">
        <x:v>Связи горизонтальные, т</x:v>
      </x:c>
      <x:c r="O1" s="13" t="str">
        <x:v>Связи горизонтальные, м/м²</x:v>
      </x:c>
      <x:c r="P1" s="13" t="str">
        <x:v>Фермы, т</x:v>
      </x:c>
      <x:c r="Q1" s="13" t="str">
        <x:v>Фермы, м/м²</x:v>
      </x:c>
      <x:c r="R1" s="13" t="str">
        <x:v>Фахверк, т</x:v>
      </x:c>
      <x:c r="S1" s="13" t="str">
        <x:v>Фахверк, м/м²</x:v>
      </x:c>
      <x:c r="T1" s="13" t="str">
        <x:v>Прогоны, т</x:v>
      </x:c>
      <x:c r="U1" s="13" t="str">
        <x:v>Прогоны, м/м²</x:v>
      </x:c>
      <x:c r="V1" s="13" t="str">
        <x:v>Крановые конструкции, т</x:v>
      </x:c>
      <x:c r="W1" s="13" t="str">
        <x:v>Крановые конструкции, м/м²</x:v>
      </x:c>
      <x:c r="X1" s="13" t="str">
        <x:v>Настил, т</x:v>
      </x:c>
      <x:c r="Y1" s="13" t="str">
        <x:v>Настил, м/м²</x:v>
      </x:c>
      <x:c r="Z1" s="13" t="str">
        <x:v>Лестницы, т</x:v>
      </x:c>
      <x:c r="AA1" s="13" t="str">
        <x:v>Лестницы, м/м²</x:v>
      </x:c>
      <x:c r="AB1" s="13" t="str">
        <x:v>Ограждения, т</x:v>
      </x:c>
      <x:c r="AC1" s="13" t="str">
        <x:v>Ограждения, м/м²</x:v>
      </x:c>
      <x:c r="AD1" s="13" t="str">
        <x:v>Общая масса, т</x:v>
      </x:c>
      <x:c r="AE1" s="14" t="str">
        <x:v>Статус проверки</x:v>
      </x:c>
    </x:row>
    <x:row r="2">
      <x:c r="A2" s="54" t="str">
        <x:v>Двутавры</x:v>
      </x:c>
      <x:c r="B2" s="55" t="str">
        <x:v>Двутавр</x:v>
      </x:c>
      <x:c r="C2" s="55" t="str">
        <x:v>25Ш1</x:v>
      </x:c>
      <x:c r="D2" s="55" t="str">
        <x:v>ГОСТ Р 57837-2017</x:v>
      </x:c>
      <x:c r="E2" s="55" t="str">
        <x:v>С255-4</x:v>
      </x:c>
      <x:c r="F2" s="56" t="n">
        <x:v>44.1</x:v>
      </x:c>
      <x:c r="G2" s="56" t="str">
        <x:v>кг/м</x:v>
      </x:c>
      <x:c r="H2" s="56"/>
      <x:c r="I2" s="56" t="str">
        <x:f>IF(H2="","",H2*1000/$F2)</x:f>
      </x:c>
      <x:c r="J2" s="56" t="n">
        <x:v>0.61</x:v>
      </x:c>
      <x:c r="K2" s="56" t="n">
        <x:f>IF(J2="","",J2*1000/$F2)</x:f>
        <x:v>13.83219954648526</x:v>
      </x:c>
      <x:c r="L2" s="56"/>
      <x:c r="M2" s="56" t="str">
        <x:f>IF(L2="","",L2*1000/$F2)</x:f>
      </x:c>
      <x:c r="N2" s="56"/>
      <x:c r="O2" s="56" t="str">
        <x:f>IF(N2="","",N2*1000/$F2)</x:f>
      </x:c>
      <x:c r="P2" s="56"/>
      <x:c r="Q2" s="56" t="str">
        <x:f>IF(P2="","",P2*1000/$F2)</x:f>
      </x:c>
      <x:c r="R2" s="56"/>
      <x:c r="S2" s="56" t="str">
        <x:f>IF(R2="","",R2*1000/$F2)</x:f>
      </x:c>
      <x:c r="T2" s="56"/>
      <x:c r="U2" s="56" t="str">
        <x:f>IF(T2="","",T2*1000/$F2)</x:f>
      </x:c>
      <x:c r="V2" s="56"/>
      <x:c r="W2" s="56" t="str">
        <x:f>IF(V2="","",V2*1000/$F2)</x:f>
      </x:c>
      <x:c r="X2" s="56"/>
      <x:c r="Y2" s="56" t="str">
        <x:f>IF(X2="","",X2*1000/$F2)</x:f>
      </x:c>
      <x:c r="Z2" s="56"/>
      <x:c r="AA2" s="56" t="str">
        <x:f>IF(Z2="","",Z2*1000/$F2)</x:f>
      </x:c>
      <x:c r="AB2" s="56"/>
      <x:c r="AC2" s="56" t="str">
        <x:f>IF(AB2="","",AB2*1000/$F2)</x:f>
      </x:c>
      <x:c r="AD2" s="56" t="n">
        <x:v>0.61</x:v>
      </x:c>
      <x:c r="AE2" s="57" t="str">
        <x:v>Проверить 23met по ГОСТ Р 57837-2017</x:v>
      </x:c>
    </x:row>
    <x:row r="3">
      <x:c r="A3" s="54" t="str">
        <x:v>Двутавры</x:v>
      </x:c>
      <x:c r="B3" s="55" t="str">
        <x:v>Двутавр</x:v>
      </x:c>
      <x:c r="C3" s="55" t="str">
        <x:v>30Ш1</x:v>
      </x:c>
      <x:c r="D3" s="55" t="str">
        <x:v>ГОСТ Р 57837-2017</x:v>
      </x:c>
      <x:c r="E3" s="55" t="str">
        <x:v>С255-4</x:v>
      </x:c>
      <x:c r="F3" s="56" t="n">
        <x:v>56.8</x:v>
      </x:c>
      <x:c r="G3" s="56" t="str">
        <x:v>кг/м</x:v>
      </x:c>
      <x:c r="H3" s="56"/>
      <x:c r="I3" s="56" t="str">
        <x:f>IF(H3="","",H3*1000/$F3)</x:f>
      </x:c>
      <x:c r="J3" s="56" t="n">
        <x:v>6.76</x:v>
      </x:c>
      <x:c r="K3" s="56" t="n">
        <x:f>IF(J3="","",J3*1000/$F3)</x:f>
        <x:v>119.01408450704226</x:v>
      </x:c>
      <x:c r="L3" s="56"/>
      <x:c r="M3" s="56" t="str">
        <x:f>IF(L3="","",L3*1000/$F3)</x:f>
      </x:c>
      <x:c r="N3" s="56"/>
      <x:c r="O3" s="56" t="str">
        <x:f>IF(N3="","",N3*1000/$F3)</x:f>
      </x:c>
      <x:c r="P3" s="56"/>
      <x:c r="Q3" s="56" t="str">
        <x:f>IF(P3="","",P3*1000/$F3)</x:f>
      </x:c>
      <x:c r="R3" s="56"/>
      <x:c r="S3" s="56" t="str">
        <x:f>IF(R3="","",R3*1000/$F3)</x:f>
      </x:c>
      <x:c r="T3" s="56"/>
      <x:c r="U3" s="56" t="str">
        <x:f>IF(T3="","",T3*1000/$F3)</x:f>
      </x:c>
      <x:c r="V3" s="56"/>
      <x:c r="W3" s="56" t="str">
        <x:f>IF(V3="","",V3*1000/$F3)</x:f>
      </x:c>
      <x:c r="X3" s="56"/>
      <x:c r="Y3" s="56" t="str">
        <x:f>IF(X3="","",X3*1000/$F3)</x:f>
      </x:c>
      <x:c r="Z3" s="56"/>
      <x:c r="AA3" s="56" t="str">
        <x:f>IF(Z3="","",Z3*1000/$F3)</x:f>
      </x:c>
      <x:c r="AB3" s="56"/>
      <x:c r="AC3" s="56" t="str">
        <x:f>IF(AB3="","",AB3*1000/$F3)</x:f>
      </x:c>
      <x:c r="AD3" s="56" t="n">
        <x:v>6.76</x:v>
      </x:c>
      <x:c r="AE3" s="57" t="str">
        <x:v>Проверить 23met по ГОСТ Р 57837-2017</x:v>
      </x:c>
    </x:row>
    <x:row r="4">
      <x:c r="A4" s="54" t="str">
        <x:v>Двутавры</x:v>
      </x:c>
      <x:c r="B4" s="55" t="str">
        <x:v>Двутавр</x:v>
      </x:c>
      <x:c r="C4" s="55" t="str">
        <x:v>35Ш2</x:v>
      </x:c>
      <x:c r="D4" s="55" t="str">
        <x:v>ГОСТ Р 57837-2017</x:v>
      </x:c>
      <x:c r="E4" s="55" t="str">
        <x:v>С255-4</x:v>
      </x:c>
      <x:c r="F4" s="56" t="n">
        <x:v>70.6</x:v>
      </x:c>
      <x:c r="G4" s="56" t="str">
        <x:v>кг/м</x:v>
      </x:c>
      <x:c r="H4" s="56"/>
      <x:c r="I4" s="56" t="str">
        <x:f>IF(H4="","",H4*1000/$F4)</x:f>
      </x:c>
      <x:c r="J4" s="56" t="n">
        <x:v>1.6</x:v>
      </x:c>
      <x:c r="K4" s="56" t="n">
        <x:f>IF(J4="","",J4*1000/$F4)</x:f>
        <x:v>22.6628895184136</x:v>
      </x:c>
      <x:c r="L4" s="56"/>
      <x:c r="M4" s="56" t="str">
        <x:f>IF(L4="","",L4*1000/$F4)</x:f>
      </x:c>
      <x:c r="N4" s="56"/>
      <x:c r="O4" s="56" t="str">
        <x:f>IF(N4="","",N4*1000/$F4)</x:f>
      </x:c>
      <x:c r="P4" s="56"/>
      <x:c r="Q4" s="56" t="str">
        <x:f>IF(P4="","",P4*1000/$F4)</x:f>
      </x:c>
      <x:c r="R4" s="56"/>
      <x:c r="S4" s="56" t="str">
        <x:f>IF(R4="","",R4*1000/$F4)</x:f>
      </x:c>
      <x:c r="T4" s="56"/>
      <x:c r="U4" s="56" t="str">
        <x:f>IF(T4="","",T4*1000/$F4)</x:f>
      </x:c>
      <x:c r="V4" s="56"/>
      <x:c r="W4" s="56" t="str">
        <x:f>IF(V4="","",V4*1000/$F4)</x:f>
      </x:c>
      <x:c r="X4" s="56"/>
      <x:c r="Y4" s="56" t="str">
        <x:f>IF(X4="","",X4*1000/$F4)</x:f>
      </x:c>
      <x:c r="Z4" s="56"/>
      <x:c r="AA4" s="56" t="str">
        <x:f>IF(Z4="","",Z4*1000/$F4)</x:f>
      </x:c>
      <x:c r="AB4" s="56"/>
      <x:c r="AC4" s="56" t="str">
        <x:f>IF(AB4="","",AB4*1000/$F4)</x:f>
      </x:c>
      <x:c r="AD4" s="56" t="n">
        <x:v>1.6</x:v>
      </x:c>
      <x:c r="AE4" s="57" t="str">
        <x:v>Проверить 23met по ГОСТ Р 57837-2017</x:v>
      </x:c>
    </x:row>
    <x:row r="5">
      <x:c r="A5" s="54" t="str">
        <x:v>Двутавры</x:v>
      </x:c>
      <x:c r="B5" s="55" t="str">
        <x:v>Двутавр</x:v>
      </x:c>
      <x:c r="C5" s="55" t="str">
        <x:v>35Б1</x:v>
      </x:c>
      <x:c r="D5" s="55" t="str">
        <x:v>ГОСТ Р 57837-2017</x:v>
      </x:c>
      <x:c r="E5" s="55" t="str">
        <x:v>С255-4</x:v>
      </x:c>
      <x:c r="F5" s="56" t="n">
        <x:v>41.4</x:v>
      </x:c>
      <x:c r="G5" s="56" t="str">
        <x:v>кг/м</x:v>
      </x:c>
      <x:c r="H5" s="56"/>
      <x:c r="I5" s="56" t="str">
        <x:f>IF(H5="","",H5*1000/$F5)</x:f>
      </x:c>
      <x:c r="J5" s="56"/>
      <x:c r="K5" s="56" t="str">
        <x:f>IF(J5="","",J5*1000/$F5)</x:f>
      </x:c>
      <x:c r="L5" s="56"/>
      <x:c r="M5" s="56" t="str">
        <x:f>IF(L5="","",L5*1000/$F5)</x:f>
      </x:c>
      <x:c r="N5" s="56"/>
      <x:c r="O5" s="56" t="str">
        <x:f>IF(N5="","",N5*1000/$F5)</x:f>
      </x:c>
      <x:c r="P5" s="56"/>
      <x:c r="Q5" s="56" t="str">
        <x:f>IF(P5="","",P5*1000/$F5)</x:f>
      </x:c>
      <x:c r="R5" s="56"/>
      <x:c r="S5" s="56" t="str">
        <x:f>IF(R5="","",R5*1000/$F5)</x:f>
      </x:c>
      <x:c r="T5" s="56"/>
      <x:c r="U5" s="56" t="str">
        <x:f>IF(T5="","",T5*1000/$F5)</x:f>
      </x:c>
      <x:c r="V5" s="56" t="n">
        <x:v>0.08</x:v>
      </x:c>
      <x:c r="W5" s="56" t="n">
        <x:f>IF(V5="","",V5*1000/$F5)</x:f>
        <x:v>1.9323671497584543</x:v>
      </x:c>
      <x:c r="X5" s="56"/>
      <x:c r="Y5" s="56" t="str">
        <x:f>IF(X5="","",X5*1000/$F5)</x:f>
      </x:c>
      <x:c r="Z5" s="56"/>
      <x:c r="AA5" s="56" t="str">
        <x:f>IF(Z5="","",Z5*1000/$F5)</x:f>
      </x:c>
      <x:c r="AB5" s="56"/>
      <x:c r="AC5" s="56" t="str">
        <x:f>IF(AB5="","",AB5*1000/$F5)</x:f>
      </x:c>
      <x:c r="AD5" s="56" t="n">
        <x:v>0.08</x:v>
      </x:c>
      <x:c r="AE5" s="57" t="str">
        <x:v>Проверить 23met по ГОСТ Р 57837-2017</x:v>
      </x:c>
    </x:row>
    <x:row r="6">
      <x:c r="A6" s="54" t="str">
        <x:v>Двутавры</x:v>
      </x:c>
      <x:c r="B6" s="55" t="str">
        <x:v>Двутавр</x:v>
      </x:c>
      <x:c r="C6" s="55" t="str">
        <x:v>35К1</x:v>
      </x:c>
      <x:c r="D6" s="55" t="str">
        <x:v>ГОСТ Р 57837-2017</x:v>
      </x:c>
      <x:c r="E6" s="55" t="str">
        <x:v>С355-5</x:v>
      </x:c>
      <x:c r="F6" s="56" t="n">
        <x:v>67.8</x:v>
      </x:c>
      <x:c r="G6" s="56" t="str">
        <x:v>кг/м</x:v>
      </x:c>
      <x:c r="H6" s="56" t="n">
        <x:v>3.24</x:v>
      </x:c>
      <x:c r="I6" s="56" t="n">
        <x:f>IF(H6="","",H6*1000/$F6)</x:f>
        <x:v>47.78761061946903</x:v>
      </x:c>
      <x:c r="J6" s="56"/>
      <x:c r="K6" s="56" t="str">
        <x:f>IF(J6="","",J6*1000/$F6)</x:f>
      </x:c>
      <x:c r="L6" s="56"/>
      <x:c r="M6" s="56" t="str">
        <x:f>IF(L6="","",L6*1000/$F6)</x:f>
      </x:c>
      <x:c r="N6" s="56"/>
      <x:c r="O6" s="56" t="str">
        <x:f>IF(N6="","",N6*1000/$F6)</x:f>
      </x:c>
      <x:c r="P6" s="56"/>
      <x:c r="Q6" s="56" t="str">
        <x:f>IF(P6="","",P6*1000/$F6)</x:f>
      </x:c>
      <x:c r="R6" s="56"/>
      <x:c r="S6" s="56" t="str">
        <x:f>IF(R6="","",R6*1000/$F6)</x:f>
      </x:c>
      <x:c r="T6" s="56"/>
      <x:c r="U6" s="56" t="str">
        <x:f>IF(T6="","",T6*1000/$F6)</x:f>
      </x:c>
      <x:c r="V6" s="56"/>
      <x:c r="W6" s="56" t="str">
        <x:f>IF(V6="","",V6*1000/$F6)</x:f>
      </x:c>
      <x:c r="X6" s="56"/>
      <x:c r="Y6" s="56" t="str">
        <x:f>IF(X6="","",X6*1000/$F6)</x:f>
      </x:c>
      <x:c r="Z6" s="56"/>
      <x:c r="AA6" s="56" t="str">
        <x:f>IF(Z6="","",Z6*1000/$F6)</x:f>
      </x:c>
      <x:c r="AB6" s="56"/>
      <x:c r="AC6" s="56" t="str">
        <x:f>IF(AB6="","",AB6*1000/$F6)</x:f>
      </x:c>
      <x:c r="AD6" s="56" t="n">
        <x:v>3.24</x:v>
      </x:c>
      <x:c r="AE6" s="57" t="str">
        <x:v>Проверить 23met по ГОСТ Р 57837-2017</x:v>
      </x:c>
    </x:row>
    <x:row r="7">
      <x:c r="A7" s="38" t="str">
        <x:v>Швеллеры</x:v>
      </x:c>
      <x:c r="B7" s="39" t="str">
        <x:v>Швеллер</x:v>
      </x:c>
      <x:c r="C7" s="39" t="str">
        <x:v>10П</x:v>
      </x:c>
      <x:c r="D7" s="39" t="str">
        <x:v>ГОСТ 8240-97</x:v>
      </x:c>
      <x:c r="E7" s="39" t="str">
        <x:v>С255-4</x:v>
      </x:c>
      <x:c r="F7" s="40" t="n">
        <x:v>8.59</x:v>
      </x:c>
      <x:c r="G7" s="40" t="str">
        <x:v>кг/м</x:v>
      </x:c>
      <x:c r="H7" s="40"/>
      <x:c r="I7" s="40" t="str">
        <x:f>IF(H7="","",H7*1000/$F7)</x:f>
      </x:c>
      <x:c r="J7" s="40"/>
      <x:c r="K7" s="40" t="str">
        <x:f>IF(J7="","",J7*1000/$F7)</x:f>
      </x:c>
      <x:c r="L7" s="40"/>
      <x:c r="M7" s="40" t="str">
        <x:f>IF(L7="","",L7*1000/$F7)</x:f>
      </x:c>
      <x:c r="N7" s="40"/>
      <x:c r="O7" s="40" t="str">
        <x:f>IF(N7="","",N7*1000/$F7)</x:f>
      </x:c>
      <x:c r="P7" s="40"/>
      <x:c r="Q7" s="40" t="str">
        <x:f>IF(P7="","",P7*1000/$F7)</x:f>
      </x:c>
      <x:c r="R7" s="40"/>
      <x:c r="S7" s="40" t="str">
        <x:f>IF(R7="","",R7*1000/$F7)</x:f>
      </x:c>
      <x:c r="T7" s="40" t="n">
        <x:v>0.42</x:v>
      </x:c>
      <x:c r="U7" s="40" t="n">
        <x:f>IF(T7="","",T7*1000/$F7)</x:f>
        <x:v>48.894062863795114</x:v>
      </x:c>
      <x:c r="V7" s="40"/>
      <x:c r="W7" s="40" t="str">
        <x:f>IF(V7="","",V7*1000/$F7)</x:f>
      </x:c>
      <x:c r="X7" s="40"/>
      <x:c r="Y7" s="40" t="str">
        <x:f>IF(X7="","",X7*1000/$F7)</x:f>
      </x:c>
      <x:c r="Z7" s="40" t="n">
        <x:v>0.11</x:v>
      </x:c>
      <x:c r="AA7" s="40" t="n">
        <x:f>IF(Z7="","",Z7*1000/$F7)</x:f>
        <x:v>12.80558789289872</x:v>
      </x:c>
      <x:c r="AB7" s="40"/>
      <x:c r="AC7" s="40" t="str">
        <x:f>IF(AB7="","",AB7*1000/$F7)</x:f>
      </x:c>
      <x:c r="AD7" s="40" t="n">
        <x:v>0.53</x:v>
      </x:c>
      <x:c r="AE7" s="41" t="str">
        <x:v>OK</x:v>
      </x:c>
    </x:row>
    <x:row r="8">
      <x:c r="A8" s="38" t="str">
        <x:v>Швеллеры</x:v>
      </x:c>
      <x:c r="B8" s="39" t="str">
        <x:v>Швеллер</x:v>
      </x:c>
      <x:c r="C8" s="39" t="str">
        <x:v>16П</x:v>
      </x:c>
      <x:c r="D8" s="39" t="str">
        <x:v>ГОСТ 8240-97</x:v>
      </x:c>
      <x:c r="E8" s="39" t="str">
        <x:v>С255-4</x:v>
      </x:c>
      <x:c r="F8" s="40" t="n">
        <x:v>14.2</x:v>
      </x:c>
      <x:c r="G8" s="40" t="str">
        <x:v>кг/м</x:v>
      </x:c>
      <x:c r="H8" s="40"/>
      <x:c r="I8" s="40" t="str">
        <x:f>IF(H8="","",H8*1000/$F8)</x:f>
      </x:c>
      <x:c r="J8" s="40"/>
      <x:c r="K8" s="40" t="str">
        <x:f>IF(J8="","",J8*1000/$F8)</x:f>
      </x:c>
      <x:c r="L8" s="40"/>
      <x:c r="M8" s="40" t="str">
        <x:f>IF(L8="","",L8*1000/$F8)</x:f>
      </x:c>
      <x:c r="N8" s="40"/>
      <x:c r="O8" s="40" t="str">
        <x:f>IF(N8="","",N8*1000/$F8)</x:f>
      </x:c>
      <x:c r="P8" s="40"/>
      <x:c r="Q8" s="40" t="str">
        <x:f>IF(P8="","",P8*1000/$F8)</x:f>
      </x:c>
      <x:c r="R8" s="40"/>
      <x:c r="S8" s="40" t="str">
        <x:f>IF(R8="","",R8*1000/$F8)</x:f>
      </x:c>
      <x:c r="T8" s="40"/>
      <x:c r="U8" s="40" t="str">
        <x:f>IF(T8="","",T8*1000/$F8)</x:f>
      </x:c>
      <x:c r="V8" s="40" t="n">
        <x:v>0.01</x:v>
      </x:c>
      <x:c r="W8" s="40" t="n">
        <x:f>IF(V8="","",V8*1000/$F8)</x:f>
        <x:v>0.7042253521126761</x:v>
      </x:c>
      <x:c r="X8" s="40"/>
      <x:c r="Y8" s="40" t="str">
        <x:f>IF(X8="","",X8*1000/$F8)</x:f>
      </x:c>
      <x:c r="Z8" s="40"/>
      <x:c r="AA8" s="40" t="str">
        <x:f>IF(Z8="","",Z8*1000/$F8)</x:f>
      </x:c>
      <x:c r="AB8" s="40"/>
      <x:c r="AC8" s="40" t="str">
        <x:f>IF(AB8="","",AB8*1000/$F8)</x:f>
      </x:c>
      <x:c r="AD8" s="40" t="n">
        <x:v>0.01</x:v>
      </x:c>
      <x:c r="AE8" s="41" t="str">
        <x:v>OK</x:v>
      </x:c>
    </x:row>
    <x:row r="9">
      <x:c r="A9" s="38" t="str">
        <x:v>Швеллеры</x:v>
      </x:c>
      <x:c r="B9" s="39" t="str">
        <x:v>Швеллер</x:v>
      </x:c>
      <x:c r="C9" s="39" t="str">
        <x:v>20П</x:v>
      </x:c>
      <x:c r="D9" s="39" t="str">
        <x:v>ГОСТ 8240-97</x:v>
      </x:c>
      <x:c r="E9" s="39" t="str">
        <x:v>С255-4</x:v>
      </x:c>
      <x:c r="F9" s="40" t="n">
        <x:v>18.4</x:v>
      </x:c>
      <x:c r="G9" s="40" t="str">
        <x:v>кг/м</x:v>
      </x:c>
      <x:c r="H9" s="40"/>
      <x:c r="I9" s="40" t="str">
        <x:f>IF(H9="","",H9*1000/$F9)</x:f>
      </x:c>
      <x:c r="J9" s="40" t="n">
        <x:v>1.47</x:v>
      </x:c>
      <x:c r="K9" s="40" t="n">
        <x:f>IF(J9="","",J9*1000/$F9)</x:f>
        <x:v>79.8913043478261</x:v>
      </x:c>
      <x:c r="L9" s="40" t="n">
        <x:v>0.61</x:v>
      </x:c>
      <x:c r="M9" s="40" t="n">
        <x:f>IF(L9="","",L9*1000/$F9)</x:f>
        <x:v>33.152173913043484</x:v>
      </x:c>
      <x:c r="N9" s="40"/>
      <x:c r="O9" s="40" t="str">
        <x:f>IF(N9="","",N9*1000/$F9)</x:f>
      </x:c>
      <x:c r="P9" s="40"/>
      <x:c r="Q9" s="40" t="str">
        <x:f>IF(P9="","",P9*1000/$F9)</x:f>
      </x:c>
      <x:c r="R9" s="40"/>
      <x:c r="S9" s="40" t="str">
        <x:f>IF(R9="","",R9*1000/$F9)</x:f>
      </x:c>
      <x:c r="T9" s="40"/>
      <x:c r="U9" s="40" t="str">
        <x:f>IF(T9="","",T9*1000/$F9)</x:f>
      </x:c>
      <x:c r="V9" s="40"/>
      <x:c r="W9" s="40" t="str">
        <x:f>IF(V9="","",V9*1000/$F9)</x:f>
      </x:c>
      <x:c r="X9" s="40"/>
      <x:c r="Y9" s="40" t="str">
        <x:f>IF(X9="","",X9*1000/$F9)</x:f>
      </x:c>
      <x:c r="Z9" s="40" t="n">
        <x:v>0.26</x:v>
      </x:c>
      <x:c r="AA9" s="40" t="n">
        <x:f>IF(Z9="","",Z9*1000/$F9)</x:f>
        <x:v>14.130434782608697</x:v>
      </x:c>
      <x:c r="AB9" s="40"/>
      <x:c r="AC9" s="40" t="str">
        <x:f>IF(AB9="","",AB9*1000/$F9)</x:f>
      </x:c>
      <x:c r="AD9" s="40" t="n">
        <x:v>2.35</x:v>
      </x:c>
      <x:c r="AE9" s="41" t="str">
        <x:v>OK</x:v>
      </x:c>
    </x:row>
    <x:row r="10">
      <x:c r="A10" s="54" t="str">
        <x:v>Швеллеры</x:v>
      </x:c>
      <x:c r="B10" s="55" t="str">
        <x:v>Швеллер</x:v>
      </x:c>
      <x:c r="C10" s="55" t="str">
        <x:v>24П</x:v>
      </x:c>
      <x:c r="D10" s="55" t="str">
        <x:v>ГОСТ 8240-97</x:v>
      </x:c>
      <x:c r="E10" s="55" t="str">
        <x:v>С255-4</x:v>
      </x:c>
      <x:c r="F10" s="56" t="n">
        <x:v>24</x:v>
      </x:c>
      <x:c r="G10" s="56" t="str">
        <x:v>кг/м</x:v>
      </x:c>
      <x:c r="H10" s="56"/>
      <x:c r="I10" s="56" t="str">
        <x:f>IF(H10="","",H10*1000/$F10)</x:f>
      </x:c>
      <x:c r="J10" s="56"/>
      <x:c r="K10" s="56" t="str">
        <x:f>IF(J10="","",J10*1000/$F10)</x:f>
      </x:c>
      <x:c r="L10" s="56"/>
      <x:c r="M10" s="56" t="str">
        <x:f>IF(L10="","",L10*1000/$F10)</x:f>
      </x:c>
      <x:c r="N10" s="56"/>
      <x:c r="O10" s="56" t="str">
        <x:f>IF(N10="","",N10*1000/$F10)</x:f>
      </x:c>
      <x:c r="P10" s="56"/>
      <x:c r="Q10" s="56" t="str">
        <x:f>IF(P10="","",P10*1000/$F10)</x:f>
      </x:c>
      <x:c r="R10" s="56"/>
      <x:c r="S10" s="56" t="str">
        <x:f>IF(R10="","",R10*1000/$F10)</x:f>
      </x:c>
      <x:c r="T10" s="56" t="n">
        <x:v>3.9</x:v>
      </x:c>
      <x:c r="U10" s="56" t="n">
        <x:f>IF(T10="","",T10*1000/$F10)</x:f>
        <x:v>162.5</x:v>
      </x:c>
      <x:c r="V10" s="56"/>
      <x:c r="W10" s="56" t="str">
        <x:f>IF(V10="","",V10*1000/$F10)</x:f>
      </x:c>
      <x:c r="X10" s="56"/>
      <x:c r="Y10" s="56" t="str">
        <x:f>IF(X10="","",X10*1000/$F10)</x:f>
      </x:c>
      <x:c r="Z10" s="56"/>
      <x:c r="AA10" s="56" t="str">
        <x:f>IF(Z10="","",Z10*1000/$F10)</x:f>
      </x:c>
      <x:c r="AB10" s="56"/>
      <x:c r="AC10" s="56" t="str">
        <x:f>IF(AB10="","",AB10*1000/$F10)</x:f>
      </x:c>
      <x:c r="AD10" s="56" t="n">
        <x:v>3.9</x:v>
      </x:c>
      <x:c r="AE10" s="57" t="str">
        <x:v>Проверить 23met по ГОСТ 8240-97</x:v>
      </x:c>
    </x:row>
    <x:row r="11">
      <x:c r="A11" s="54" t="str">
        <x:v>Уголки равнополочные</x:v>
      </x:c>
      <x:c r="B11" s="55" t="str">
        <x:v>Уголок</x:v>
      </x:c>
      <x:c r="C11" s="55" t="str">
        <x:v>L25×3</x:v>
      </x:c>
      <x:c r="D11" s="55" t="str">
        <x:v>ГОСТ 8509-93</x:v>
      </x:c>
      <x:c r="E11" s="55" t="str">
        <x:v>С255-4</x:v>
      </x:c>
      <x:c r="F11" s="56" t="n">
        <x:v>1.12</x:v>
      </x:c>
      <x:c r="G11" s="56" t="str">
        <x:v>кг/м</x:v>
      </x:c>
      <x:c r="H11" s="56"/>
      <x:c r="I11" s="56" t="str">
        <x:f>IF(H11="","",H11*1000/$F11)</x:f>
      </x:c>
      <x:c r="J11" s="56"/>
      <x:c r="K11" s="56" t="str">
        <x:f>IF(J11="","",J11*1000/$F11)</x:f>
      </x:c>
      <x:c r="L11" s="56"/>
      <x:c r="M11" s="56" t="str">
        <x:f>IF(L11="","",L11*1000/$F11)</x:f>
      </x:c>
      <x:c r="N11" s="56"/>
      <x:c r="O11" s="56" t="str">
        <x:f>IF(N11="","",N11*1000/$F11)</x:f>
      </x:c>
      <x:c r="P11" s="56"/>
      <x:c r="Q11" s="56" t="str">
        <x:f>IF(P11="","",P11*1000/$F11)</x:f>
      </x:c>
      <x:c r="R11" s="56"/>
      <x:c r="S11" s="56" t="str">
        <x:f>IF(R11="","",R11*1000/$F11)</x:f>
      </x:c>
      <x:c r="T11" s="56"/>
      <x:c r="U11" s="56" t="str">
        <x:f>IF(T11="","",T11*1000/$F11)</x:f>
      </x:c>
      <x:c r="V11" s="56"/>
      <x:c r="W11" s="56" t="str">
        <x:f>IF(V11="","",V11*1000/$F11)</x:f>
      </x:c>
      <x:c r="X11" s="56"/>
      <x:c r="Y11" s="56" t="str">
        <x:f>IF(X11="","",X11*1000/$F11)</x:f>
      </x:c>
      <x:c r="Z11" s="56"/>
      <x:c r="AA11" s="56" t="str">
        <x:f>IF(Z11="","",Z11*1000/$F11)</x:f>
      </x:c>
      <x:c r="AB11" s="56" t="n">
        <x:v>0.01</x:v>
      </x:c>
      <x:c r="AC11" s="56" t="n">
        <x:f>IF(AB11="","",AB11*1000/$F11)</x:f>
        <x:v>8.928571428571427</x:v>
      </x:c>
      <x:c r="AD11" s="56" t="n">
        <x:v>0.01</x:v>
      </x:c>
      <x:c r="AE11" s="57" t="str">
        <x:v>Проверить 23met по ГОСТ 8509-93</x:v>
      </x:c>
    </x:row>
    <x:row r="12">
      <x:c r="A12" s="38" t="str">
        <x:v>Уголки равнополочные</x:v>
      </x:c>
      <x:c r="B12" s="39" t="str">
        <x:v>Уголок</x:v>
      </x:c>
      <x:c r="C12" s="39" t="str">
        <x:v>L50×5</x:v>
      </x:c>
      <x:c r="D12" s="39" t="str">
        <x:v>ГОСТ 8509-93</x:v>
      </x:c>
      <x:c r="E12" s="39" t="str">
        <x:v>С255-4</x:v>
      </x:c>
      <x:c r="F12" s="40" t="n">
        <x:v>3.77</x:v>
      </x:c>
      <x:c r="G12" s="40" t="str">
        <x:v>кг/м</x:v>
      </x:c>
      <x:c r="H12" s="40"/>
      <x:c r="I12" s="40" t="str">
        <x:f>IF(H12="","",H12*1000/$F12)</x:f>
      </x:c>
      <x:c r="J12" s="40"/>
      <x:c r="K12" s="40" t="str">
        <x:f>IF(J12="","",J12*1000/$F12)</x:f>
      </x:c>
      <x:c r="L12" s="40"/>
      <x:c r="M12" s="40" t="str">
        <x:f>IF(L12="","",L12*1000/$F12)</x:f>
      </x:c>
      <x:c r="N12" s="40"/>
      <x:c r="O12" s="40" t="str">
        <x:f>IF(N12="","",N12*1000/$F12)</x:f>
      </x:c>
      <x:c r="P12" s="40"/>
      <x:c r="Q12" s="40" t="str">
        <x:f>IF(P12="","",P12*1000/$F12)</x:f>
      </x:c>
      <x:c r="R12" s="40"/>
      <x:c r="S12" s="40" t="str">
        <x:f>IF(R12="","",R12*1000/$F12)</x:f>
      </x:c>
      <x:c r="T12" s="40"/>
      <x:c r="U12" s="40" t="str">
        <x:f>IF(T12="","",T12*1000/$F12)</x:f>
      </x:c>
      <x:c r="V12" s="40"/>
      <x:c r="W12" s="40" t="str">
        <x:f>IF(V12="","",V12*1000/$F12)</x:f>
      </x:c>
      <x:c r="X12" s="40"/>
      <x:c r="Y12" s="40" t="str">
        <x:f>IF(X12="","",X12*1000/$F12)</x:f>
      </x:c>
      <x:c r="Z12" s="40"/>
      <x:c r="AA12" s="40" t="str">
        <x:f>IF(Z12="","",Z12*1000/$F12)</x:f>
      </x:c>
      <x:c r="AB12" s="40" t="n">
        <x:v>0.11</x:v>
      </x:c>
      <x:c r="AC12" s="40" t="n">
        <x:f>IF(AB12="","",AB12*1000/$F12)</x:f>
        <x:v>29.177718832891248</x:v>
      </x:c>
      <x:c r="AD12" s="40" t="n">
        <x:v>0.11</x:v>
      </x:c>
      <x:c r="AE12" s="41" t="str">
        <x:v>OK</x:v>
      </x:c>
    </x:row>
    <x:row r="13">
      <x:c r="A13" s="38" t="str">
        <x:v>Уголки равнополочные</x:v>
      </x:c>
      <x:c r="B13" s="39" t="str">
        <x:v>Уголок</x:v>
      </x:c>
      <x:c r="C13" s="39" t="str">
        <x:v>L75×6</x:v>
      </x:c>
      <x:c r="D13" s="39" t="str">
        <x:v>ГОСТ 8509-93</x:v>
      </x:c>
      <x:c r="E13" s="39" t="str">
        <x:v>С255-4</x:v>
      </x:c>
      <x:c r="F13" s="40" t="n">
        <x:v>6.89</x:v>
      </x:c>
      <x:c r="G13" s="40" t="str">
        <x:v>кг/м</x:v>
      </x:c>
      <x:c r="H13" s="40"/>
      <x:c r="I13" s="40" t="str">
        <x:f>IF(H13="","",H13*1000/$F13)</x:f>
      </x:c>
      <x:c r="J13" s="40" t="n">
        <x:v>0.01</x:v>
      </x:c>
      <x:c r="K13" s="40" t="n">
        <x:f>IF(J13="","",J13*1000/$F13)</x:f>
        <x:v>1.451378809869376</x:v>
      </x:c>
      <x:c r="L13" s="40"/>
      <x:c r="M13" s="40" t="str">
        <x:f>IF(L13="","",L13*1000/$F13)</x:f>
      </x:c>
      <x:c r="N13" s="40" t="n">
        <x:v>0.23</x:v>
      </x:c>
      <x:c r="O13" s="40" t="n">
        <x:f>IF(N13="","",N13*1000/$F13)</x:f>
        <x:v>33.38171262699565</x:v>
      </x:c>
      <x:c r="P13" s="40"/>
      <x:c r="Q13" s="40" t="str">
        <x:f>IF(P13="","",P13*1000/$F13)</x:f>
      </x:c>
      <x:c r="R13" s="40" t="n">
        <x:v>0.1</x:v>
      </x:c>
      <x:c r="S13" s="40" t="n">
        <x:f>IF(R13="","",R13*1000/$F13)</x:f>
        <x:v>14.51378809869376</x:v>
      </x:c>
      <x:c r="T13" s="40"/>
      <x:c r="U13" s="40" t="str">
        <x:f>IF(T13="","",T13*1000/$F13)</x:f>
      </x:c>
      <x:c r="V13" s="40" t="n">
        <x:v>0.22</x:v>
      </x:c>
      <x:c r="W13" s="40" t="n">
        <x:f>IF(V13="","",V13*1000/$F13)</x:f>
        <x:v>31.93033381712627</x:v>
      </x:c>
      <x:c r="X13" s="40"/>
      <x:c r="Y13" s="40" t="str">
        <x:f>IF(X13="","",X13*1000/$F13)</x:f>
      </x:c>
      <x:c r="Z13" s="40" t="n">
        <x:v>0.04</x:v>
      </x:c>
      <x:c r="AA13" s="40" t="n">
        <x:f>IF(Z13="","",Z13*1000/$F13)</x:f>
        <x:v>5.805515239477504</x:v>
      </x:c>
      <x:c r="AB13" s="40"/>
      <x:c r="AC13" s="40" t="str">
        <x:f>IF(AB13="","",AB13*1000/$F13)</x:f>
      </x:c>
      <x:c r="AD13" s="40" t="n">
        <x:v>0.6</x:v>
      </x:c>
      <x:c r="AE13" s="41" t="str">
        <x:v>OK</x:v>
      </x:c>
    </x:row>
    <x:row r="14">
      <x:c r="A14" s="54" t="str">
        <x:v>Уголки равнополочные</x:v>
      </x:c>
      <x:c r="B14" s="55" t="str">
        <x:v>Уголок</x:v>
      </x:c>
      <x:c r="C14" s="55" t="str">
        <x:v>L90×7</x:v>
      </x:c>
      <x:c r="D14" s="55" t="str">
        <x:v>ГОСТ 8509-93</x:v>
      </x:c>
      <x:c r="E14" s="55" t="str">
        <x:v>С255-4</x:v>
      </x:c>
      <x:c r="F14" s="56" t="n">
        <x:v>9.64</x:v>
      </x:c>
      <x:c r="G14" s="56" t="str">
        <x:v>кг/м</x:v>
      </x:c>
      <x:c r="H14" s="56"/>
      <x:c r="I14" s="56" t="str">
        <x:f>IF(H14="","",H14*1000/$F14)</x:f>
      </x:c>
      <x:c r="J14" s="56"/>
      <x:c r="K14" s="56" t="str">
        <x:f>IF(J14="","",J14*1000/$F14)</x:f>
      </x:c>
      <x:c r="L14" s="56"/>
      <x:c r="M14" s="56" t="str">
        <x:f>IF(L14="","",L14*1000/$F14)</x:f>
      </x:c>
      <x:c r="N14" s="56"/>
      <x:c r="O14" s="56" t="str">
        <x:f>IF(N14="","",N14*1000/$F14)</x:f>
      </x:c>
      <x:c r="P14" s="56"/>
      <x:c r="Q14" s="56" t="str">
        <x:f>IF(P14="","",P14*1000/$F14)</x:f>
      </x:c>
      <x:c r="R14" s="56" t="n">
        <x:v>0.02</x:v>
      </x:c>
      <x:c r="S14" s="56" t="n">
        <x:f>IF(R14="","",R14*1000/$F14)</x:f>
        <x:v>2.0746887966804977</x:v>
      </x:c>
      <x:c r="T14" s="56"/>
      <x:c r="U14" s="56" t="str">
        <x:f>IF(T14="","",T14*1000/$F14)</x:f>
      </x:c>
      <x:c r="V14" s="56"/>
      <x:c r="W14" s="56" t="str">
        <x:f>IF(V14="","",V14*1000/$F14)</x:f>
      </x:c>
      <x:c r="X14" s="56"/>
      <x:c r="Y14" s="56" t="str">
        <x:f>IF(X14="","",X14*1000/$F14)</x:f>
      </x:c>
      <x:c r="Z14" s="56" t="n">
        <x:v>0.37</x:v>
      </x:c>
      <x:c r="AA14" s="56" t="n">
        <x:f>IF(Z14="","",Z14*1000/$F14)</x:f>
        <x:v>38.38174273858921</x:v>
      </x:c>
      <x:c r="AB14" s="56"/>
      <x:c r="AC14" s="56" t="str">
        <x:f>IF(AB14="","",AB14*1000/$F14)</x:f>
      </x:c>
      <x:c r="AD14" s="56" t="n">
        <x:v>0.39</x:v>
      </x:c>
      <x:c r="AE14" s="57" t="str">
        <x:v>Проверить 23met по ГОСТ 8509-93</x:v>
      </x:c>
    </x:row>
    <x:row r="15">
      <x:c r="A15" s="54" t="str">
        <x:v>Уголки равнополочные</x:v>
      </x:c>
      <x:c r="B15" s="55" t="str">
        <x:v>Уголок</x:v>
      </x:c>
      <x:c r="C15" s="55" t="str">
        <x:v>L100×7</x:v>
      </x:c>
      <x:c r="D15" s="55" t="str">
        <x:v>ГОСТ 8509-93</x:v>
      </x:c>
      <x:c r="E15" s="55" t="str">
        <x:v>С255-4</x:v>
      </x:c>
      <x:c r="F15" s="56" t="n">
        <x:v>10.79</x:v>
      </x:c>
      <x:c r="G15" s="56" t="str">
        <x:v>кг/м</x:v>
      </x:c>
      <x:c r="H15" s="56" t="n">
        <x:v>0.22</x:v>
      </x:c>
      <x:c r="I15" s="56" t="n">
        <x:f>IF(H15="","",H15*1000/$F15)</x:f>
        <x:v>20.389249304911957</x:v>
      </x:c>
      <x:c r="J15" s="56"/>
      <x:c r="K15" s="56" t="str">
        <x:f>IF(J15="","",J15*1000/$F15)</x:f>
      </x:c>
      <x:c r="L15" s="56" t="n">
        <x:v>0.03</x:v>
      </x:c>
      <x:c r="M15" s="56" t="n">
        <x:f>IF(L15="","",L15*1000/$F15)</x:f>
        <x:v>2.7803521779425395</x:v>
      </x:c>
      <x:c r="N15" s="56"/>
      <x:c r="O15" s="56" t="str">
        <x:f>IF(N15="","",N15*1000/$F15)</x:f>
      </x:c>
      <x:c r="P15" s="56"/>
      <x:c r="Q15" s="56" t="str">
        <x:f>IF(P15="","",P15*1000/$F15)</x:f>
      </x:c>
      <x:c r="R15" s="56" t="n">
        <x:v>0.03</x:v>
      </x:c>
      <x:c r="S15" s="56" t="n">
        <x:f>IF(R15="","",R15*1000/$F15)</x:f>
        <x:v>2.7803521779425395</x:v>
      </x:c>
      <x:c r="T15" s="56" t="n">
        <x:v>0.12</x:v>
      </x:c>
      <x:c r="U15" s="56" t="n">
        <x:f>IF(T15="","",T15*1000/$F15)</x:f>
        <x:v>11.121408711770158</x:v>
      </x:c>
      <x:c r="V15" s="56"/>
      <x:c r="W15" s="56" t="str">
        <x:f>IF(V15="","",V15*1000/$F15)</x:f>
      </x:c>
      <x:c r="X15" s="56"/>
      <x:c r="Y15" s="56" t="str">
        <x:f>IF(X15="","",X15*1000/$F15)</x:f>
      </x:c>
      <x:c r="Z15" s="56" t="n">
        <x:v>0.12</x:v>
      </x:c>
      <x:c r="AA15" s="56" t="n">
        <x:f>IF(Z15="","",Z15*1000/$F15)</x:f>
        <x:v>11.121408711770158</x:v>
      </x:c>
      <x:c r="AB15" s="56"/>
      <x:c r="AC15" s="56" t="str">
        <x:f>IF(AB15="","",AB15*1000/$F15)</x:f>
      </x:c>
      <x:c r="AD15" s="56" t="n">
        <x:v>0.52</x:v>
      </x:c>
      <x:c r="AE15" s="57" t="str">
        <x:v>Проверить 23met по ГОСТ 8509-93</x:v>
      </x:c>
    </x:row>
    <x:row r="16">
      <x:c r="A16" s="54" t="str">
        <x:v>Уголки равнополочные</x:v>
      </x:c>
      <x:c r="B16" s="55" t="str">
        <x:v>Уголок</x:v>
      </x:c>
      <x:c r="C16" s="55" t="str">
        <x:v>L125×8</x:v>
      </x:c>
      <x:c r="D16" s="55" t="str">
        <x:v>ГОСТ 8509-93</x:v>
      </x:c>
      <x:c r="E16" s="55" t="str">
        <x:v>С255-4</x:v>
      </x:c>
      <x:c r="F16" s="56" t="n">
        <x:v>15.46</x:v>
      </x:c>
      <x:c r="G16" s="56" t="str">
        <x:v>кг/м</x:v>
      </x:c>
      <x:c r="H16" s="56"/>
      <x:c r="I16" s="56" t="str">
        <x:f>IF(H16="","",H16*1000/$F16)</x:f>
      </x:c>
      <x:c r="J16" s="56"/>
      <x:c r="K16" s="56" t="str">
        <x:f>IF(J16="","",J16*1000/$F16)</x:f>
      </x:c>
      <x:c r="L16" s="56"/>
      <x:c r="M16" s="56" t="str">
        <x:f>IF(L16="","",L16*1000/$F16)</x:f>
      </x:c>
      <x:c r="N16" s="56"/>
      <x:c r="O16" s="56" t="str">
        <x:f>IF(N16="","",N16*1000/$F16)</x:f>
      </x:c>
      <x:c r="P16" s="56"/>
      <x:c r="Q16" s="56" t="str">
        <x:f>IF(P16="","",P16*1000/$F16)</x:f>
      </x:c>
      <x:c r="R16" s="56" t="n">
        <x:v>0.02</x:v>
      </x:c>
      <x:c r="S16" s="56" t="n">
        <x:f>IF(R16="","",R16*1000/$F16)</x:f>
        <x:v>1.2936610608020698</x:v>
      </x:c>
      <x:c r="T16" s="56"/>
      <x:c r="U16" s="56" t="str">
        <x:f>IF(T16="","",T16*1000/$F16)</x:f>
      </x:c>
      <x:c r="V16" s="56"/>
      <x:c r="W16" s="56" t="str">
        <x:f>IF(V16="","",V16*1000/$F16)</x:f>
      </x:c>
      <x:c r="X16" s="56"/>
      <x:c r="Y16" s="56" t="str">
        <x:f>IF(X16="","",X16*1000/$F16)</x:f>
      </x:c>
      <x:c r="Z16" s="56"/>
      <x:c r="AA16" s="56" t="str">
        <x:f>IF(Z16="","",Z16*1000/$F16)</x:f>
      </x:c>
      <x:c r="AB16" s="56"/>
      <x:c r="AC16" s="56" t="str">
        <x:f>IF(AB16="","",AB16*1000/$F16)</x:f>
      </x:c>
      <x:c r="AD16" s="56" t="n">
        <x:v>0.02</x:v>
      </x:c>
      <x:c r="AE16" s="57" t="str">
        <x:v>Проверить 23met по ГОСТ 8509-93</x:v>
      </x:c>
    </x:row>
    <x:row r="17">
      <x:c r="A17" s="54" t="str">
        <x:v>Уголки неравнополочные</x:v>
      </x:c>
      <x:c r="B17" s="55" t="str">
        <x:v>Уголок</x:v>
      </x:c>
      <x:c r="C17" s="55" t="str">
        <x:v>L100×65×8</x:v>
      </x:c>
      <x:c r="D17" s="55" t="str">
        <x:v>ГОСТ 8510-86</x:v>
      </x:c>
      <x:c r="E17" s="55" t="str">
        <x:v>С255-4</x:v>
      </x:c>
      <x:c r="F17" s="56" t="n">
        <x:v>9.94</x:v>
      </x:c>
      <x:c r="G17" s="56" t="str">
        <x:v>кг/м</x:v>
      </x:c>
      <x:c r="H17" s="56"/>
      <x:c r="I17" s="56" t="str">
        <x:f>IF(H17="","",H17*1000/$F17)</x:f>
      </x:c>
      <x:c r="J17" s="56" t="n">
        <x:v>0.01</x:v>
      </x:c>
      <x:c r="K17" s="56" t="n">
        <x:f>IF(J17="","",J17*1000/$F17)</x:f>
        <x:v>1.006036217303823</x:v>
      </x:c>
      <x:c r="L17" s="56"/>
      <x:c r="M17" s="56" t="str">
        <x:f>IF(L17="","",L17*1000/$F17)</x:f>
      </x:c>
      <x:c r="N17" s="56"/>
      <x:c r="O17" s="56" t="str">
        <x:f>IF(N17="","",N17*1000/$F17)</x:f>
      </x:c>
      <x:c r="P17" s="56"/>
      <x:c r="Q17" s="56" t="str">
        <x:f>IF(P17="","",P17*1000/$F17)</x:f>
      </x:c>
      <x:c r="R17" s="56"/>
      <x:c r="S17" s="56" t="str">
        <x:f>IF(R17="","",R17*1000/$F17)</x:f>
      </x:c>
      <x:c r="T17" s="56"/>
      <x:c r="U17" s="56" t="str">
        <x:f>IF(T17="","",T17*1000/$F17)</x:f>
      </x:c>
      <x:c r="V17" s="56"/>
      <x:c r="W17" s="56" t="str">
        <x:f>IF(V17="","",V17*1000/$F17)</x:f>
      </x:c>
      <x:c r="X17" s="56"/>
      <x:c r="Y17" s="56" t="str">
        <x:f>IF(X17="","",X17*1000/$F17)</x:f>
      </x:c>
      <x:c r="Z17" s="56"/>
      <x:c r="AA17" s="56" t="str">
        <x:f>IF(Z17="","",Z17*1000/$F17)</x:f>
      </x:c>
      <x:c r="AB17" s="56"/>
      <x:c r="AC17" s="56" t="str">
        <x:f>IF(AB17="","",AB17*1000/$F17)</x:f>
      </x:c>
      <x:c r="AD17" s="56" t="n">
        <x:v>0.01</x:v>
      </x:c>
      <x:c r="AE17" s="57" t="str">
        <x:v>Проверить 23met по ГОСТ 8510-86</x:v>
      </x:c>
    </x:row>
    <x:row r="18">
      <x:c r="A18" s="54" t="str">
        <x:v>Уголки неравнополочные</x:v>
      </x:c>
      <x:c r="B18" s="55" t="str">
        <x:v>Уголок</x:v>
      </x:c>
      <x:c r="C18" s="55" t="str">
        <x:v>L125×80×10</x:v>
      </x:c>
      <x:c r="D18" s="55" t="str">
        <x:v>ГОСТ 8510-86</x:v>
      </x:c>
      <x:c r="E18" s="55" t="str">
        <x:v>С255-4</x:v>
      </x:c>
      <x:c r="F18" s="56" t="n">
        <x:v>15.47</x:v>
      </x:c>
      <x:c r="G18" s="56" t="str">
        <x:v>кг/м</x:v>
      </x:c>
      <x:c r="H18" s="56"/>
      <x:c r="I18" s="56" t="str">
        <x:f>IF(H18="","",H18*1000/$F18)</x:f>
      </x:c>
      <x:c r="J18" s="56" t="n">
        <x:v>0.03</x:v>
      </x:c>
      <x:c r="K18" s="56" t="n">
        <x:f>IF(J18="","",J18*1000/$F18)</x:f>
        <x:v>1.9392372333548804</x:v>
      </x:c>
      <x:c r="L18" s="56"/>
      <x:c r="M18" s="56" t="str">
        <x:f>IF(L18="","",L18*1000/$F18)</x:f>
      </x:c>
      <x:c r="N18" s="56"/>
      <x:c r="O18" s="56" t="str">
        <x:f>IF(N18="","",N18*1000/$F18)</x:f>
      </x:c>
      <x:c r="P18" s="56"/>
      <x:c r="Q18" s="56" t="str">
        <x:f>IF(P18="","",P18*1000/$F18)</x:f>
      </x:c>
      <x:c r="R18" s="56"/>
      <x:c r="S18" s="56" t="str">
        <x:f>IF(R18="","",R18*1000/$F18)</x:f>
      </x:c>
      <x:c r="T18" s="56"/>
      <x:c r="U18" s="56" t="str">
        <x:f>IF(T18="","",T18*1000/$F18)</x:f>
      </x:c>
      <x:c r="V18" s="56"/>
      <x:c r="W18" s="56" t="str">
        <x:f>IF(V18="","",V18*1000/$F18)</x:f>
      </x:c>
      <x:c r="X18" s="56"/>
      <x:c r="Y18" s="56" t="str">
        <x:f>IF(X18="","",X18*1000/$F18)</x:f>
      </x:c>
      <x:c r="Z18" s="56"/>
      <x:c r="AA18" s="56" t="str">
        <x:f>IF(Z18="","",Z18*1000/$F18)</x:f>
      </x:c>
      <x:c r="AB18" s="56"/>
      <x:c r="AC18" s="56" t="str">
        <x:f>IF(AB18="","",AB18*1000/$F18)</x:f>
      </x:c>
      <x:c r="AD18" s="56" t="n">
        <x:v>0.03</x:v>
      </x:c>
      <x:c r="AE18" s="57" t="str">
        <x:v>Проверить 23met по ГОСТ 8510-86</x:v>
      </x:c>
    </x:row>
    <x:row r="19">
      <x:c r="A19" s="54" t="str">
        <x:v>Уголки неравнополочные</x:v>
      </x:c>
      <x:c r="B19" s="55" t="str">
        <x:v>Уголок</x:v>
      </x:c>
      <x:c r="C19" s="55" t="str">
        <x:v>L180×110×10</x:v>
      </x:c>
      <x:c r="D19" s="55" t="str">
        <x:v>ГОСТ 8510-86</x:v>
      </x:c>
      <x:c r="E19" s="55" t="str">
        <x:v>С255-4</x:v>
      </x:c>
      <x:c r="F19" s="56" t="n">
        <x:v>22.2</x:v>
      </x:c>
      <x:c r="G19" s="56" t="str">
        <x:v>кг/м</x:v>
      </x:c>
      <x:c r="H19" s="56"/>
      <x:c r="I19" s="56" t="str">
        <x:f>IF(H19="","",H19*1000/$F19)</x:f>
      </x:c>
      <x:c r="J19" s="56"/>
      <x:c r="K19" s="56" t="str">
        <x:f>IF(J19="","",J19*1000/$F19)</x:f>
      </x:c>
      <x:c r="L19" s="56"/>
      <x:c r="M19" s="56" t="str">
        <x:f>IF(L19="","",L19*1000/$F19)</x:f>
      </x:c>
      <x:c r="N19" s="56"/>
      <x:c r="O19" s="56" t="str">
        <x:f>IF(N19="","",N19*1000/$F19)</x:f>
      </x:c>
      <x:c r="P19" s="56"/>
      <x:c r="Q19" s="56" t="str">
        <x:f>IF(P19="","",P19*1000/$F19)</x:f>
      </x:c>
      <x:c r="R19" s="56"/>
      <x:c r="S19" s="56" t="str">
        <x:f>IF(R19="","",R19*1000/$F19)</x:f>
      </x:c>
      <x:c r="T19" s="56"/>
      <x:c r="U19" s="56" t="str">
        <x:f>IF(T19="","",T19*1000/$F19)</x:f>
      </x:c>
      <x:c r="V19" s="56"/>
      <x:c r="W19" s="56" t="str">
        <x:f>IF(V19="","",V19*1000/$F19)</x:f>
      </x:c>
      <x:c r="X19" s="56"/>
      <x:c r="Y19" s="56" t="str">
        <x:f>IF(X19="","",X19*1000/$F19)</x:f>
      </x:c>
      <x:c r="Z19" s="56" t="n">
        <x:v>0.06</x:v>
      </x:c>
      <x:c r="AA19" s="56" t="n">
        <x:f>IF(Z19="","",Z19*1000/$F19)</x:f>
        <x:v>2.7027027027027026</x:v>
      </x:c>
      <x:c r="AB19" s="56"/>
      <x:c r="AC19" s="56" t="str">
        <x:f>IF(AB19="","",AB19*1000/$F19)</x:f>
      </x:c>
      <x:c r="AD19" s="56" t="n">
        <x:v>0.06</x:v>
      </x:c>
      <x:c r="AE19" s="57" t="str">
        <x:v>Проверить 23met по ГОСТ 8510-86</x:v>
      </x:c>
    </x:row>
    <x:row r="20">
      <x:c r="A20" s="38" t="str">
        <x:v>Сталь листовая</x:v>
      </x:c>
      <x:c r="B20" s="39" t="str">
        <x:v>Лист</x:v>
      </x:c>
      <x:c r="C20" s="39" t="str">
        <x:v>t4</x:v>
      </x:c>
      <x:c r="D20" s="39" t="str">
        <x:v>ГОСТ 19903-2015</x:v>
      </x:c>
      <x:c r="E20" s="39" t="str">
        <x:v>С255-4</x:v>
      </x:c>
      <x:c r="F20" s="40" t="n">
        <x:v>31.4</x:v>
      </x:c>
      <x:c r="G20" s="40" t="str">
        <x:v>кг/м²</x:v>
      </x:c>
      <x:c r="H20" s="40"/>
      <x:c r="I20" s="40" t="str">
        <x:f>IF(H20="","",H20*1000/$F20)</x:f>
      </x:c>
      <x:c r="J20" s="40"/>
      <x:c r="K20" s="40" t="str">
        <x:f>IF(J20="","",J20*1000/$F20)</x:f>
      </x:c>
      <x:c r="L20" s="40"/>
      <x:c r="M20" s="40" t="str">
        <x:f>IF(L20="","",L20*1000/$F20)</x:f>
      </x:c>
      <x:c r="N20" s="40"/>
      <x:c r="O20" s="40" t="str">
        <x:f>IF(N20="","",N20*1000/$F20)</x:f>
      </x:c>
      <x:c r="P20" s="40"/>
      <x:c r="Q20" s="40" t="str">
        <x:f>IF(P20="","",P20*1000/$F20)</x:f>
      </x:c>
      <x:c r="R20" s="40" t="n">
        <x:v>0.01</x:v>
      </x:c>
      <x:c r="S20" s="40" t="n">
        <x:f>IF(R20="","",R20*1000/$F20)</x:f>
        <x:v>0.3184713375796179</x:v>
      </x:c>
      <x:c r="T20" s="40"/>
      <x:c r="U20" s="40" t="str">
        <x:f>IF(T20="","",T20*1000/$F20)</x:f>
      </x:c>
      <x:c r="V20" s="40"/>
      <x:c r="W20" s="40" t="str">
        <x:f>IF(V20="","",V20*1000/$F20)</x:f>
      </x:c>
      <x:c r="X20" s="40"/>
      <x:c r="Y20" s="40" t="str">
        <x:f>IF(X20="","",X20*1000/$F20)</x:f>
      </x:c>
      <x:c r="Z20" s="40" t="n">
        <x:v>0.26</x:v>
      </x:c>
      <x:c r="AA20" s="40" t="n">
        <x:f>IF(Z20="","",Z20*1000/$F20)</x:f>
        <x:v>8.280254777070065</x:v>
      </x:c>
      <x:c r="AB20" s="40" t="n">
        <x:v>0.05</x:v>
      </x:c>
      <x:c r="AC20" s="40" t="n">
        <x:f>IF(AB20="","",AB20*1000/$F20)</x:f>
        <x:v>1.5923566878980893</x:v>
      </x:c>
      <x:c r="AD20" s="40" t="n">
        <x:v>0.32</x:v>
      </x:c>
      <x:c r="AE20" s="41" t="str">
        <x:v>OK</x:v>
      </x:c>
    </x:row>
    <x:row r="21">
      <x:c r="A21" s="38" t="str">
        <x:v>Сталь листовая</x:v>
      </x:c>
      <x:c r="B21" s="39" t="str">
        <x:v>Лист</x:v>
      </x:c>
      <x:c r="C21" s="39" t="str">
        <x:v>t6</x:v>
      </x:c>
      <x:c r="D21" s="39" t="str">
        <x:v>ГОСТ 19903-2015</x:v>
      </x:c>
      <x:c r="E21" s="39" t="str">
        <x:v>С255-4</x:v>
      </x:c>
      <x:c r="F21" s="40" t="n">
        <x:v>47.099999999999994</x:v>
      </x:c>
      <x:c r="G21" s="40" t="str">
        <x:v>кг/м²</x:v>
      </x:c>
      <x:c r="H21" s="40"/>
      <x:c r="I21" s="40" t="str">
        <x:f>IF(H21="","",H21*1000/$F21)</x:f>
      </x:c>
      <x:c r="J21" s="40"/>
      <x:c r="K21" s="40" t="str">
        <x:f>IF(J21="","",J21*1000/$F21)</x:f>
      </x:c>
      <x:c r="L21" s="40" t="n">
        <x:v>0.02</x:v>
      </x:c>
      <x:c r="M21" s="40" t="n">
        <x:f>IF(L21="","",L21*1000/$F21)</x:f>
        <x:v>0.4246284501061572</x:v>
      </x:c>
      <x:c r="N21" s="40"/>
      <x:c r="O21" s="40" t="str">
        <x:f>IF(N21="","",N21*1000/$F21)</x:f>
      </x:c>
      <x:c r="P21" s="40"/>
      <x:c r="Q21" s="40" t="str">
        <x:f>IF(P21="","",P21*1000/$F21)</x:f>
      </x:c>
      <x:c r="R21" s="40"/>
      <x:c r="S21" s="40" t="str">
        <x:f>IF(R21="","",R21*1000/$F21)</x:f>
      </x:c>
      <x:c r="T21" s="40"/>
      <x:c r="U21" s="40" t="str">
        <x:f>IF(T21="","",T21*1000/$F21)</x:f>
      </x:c>
      <x:c r="V21" s="40"/>
      <x:c r="W21" s="40" t="str">
        <x:f>IF(V21="","",V21*1000/$F21)</x:f>
      </x:c>
      <x:c r="X21" s="40"/>
      <x:c r="Y21" s="40" t="str">
        <x:f>IF(X21="","",X21*1000/$F21)</x:f>
      </x:c>
      <x:c r="Z21" s="40"/>
      <x:c r="AA21" s="40" t="str">
        <x:f>IF(Z21="","",Z21*1000/$F21)</x:f>
      </x:c>
      <x:c r="AB21" s="40"/>
      <x:c r="AC21" s="40" t="str">
        <x:f>IF(AB21="","",AB21*1000/$F21)</x:f>
      </x:c>
      <x:c r="AD21" s="40" t="n">
        <x:v>0.02</x:v>
      </x:c>
      <x:c r="AE21" s="41" t="str">
        <x:v>OK</x:v>
      </x:c>
    </x:row>
    <x:row r="22">
      <x:c r="A22" s="38" t="str">
        <x:v>Сталь листовая</x:v>
      </x:c>
      <x:c r="B22" s="39" t="str">
        <x:v>Лист</x:v>
      </x:c>
      <x:c r="C22" s="39" t="str">
        <x:v>t8</x:v>
      </x:c>
      <x:c r="D22" s="39" t="str">
        <x:v>ГОСТ 19903-2015</x:v>
      </x:c>
      <x:c r="E22" s="39" t="str">
        <x:v>С255-4</x:v>
      </x:c>
      <x:c r="F22" s="40" t="n">
        <x:v>62.8</x:v>
      </x:c>
      <x:c r="G22" s="40" t="str">
        <x:v>кг/м²</x:v>
      </x:c>
      <x:c r="H22" s="40"/>
      <x:c r="I22" s="40" t="str">
        <x:f>IF(H22="","",H22*1000/$F22)</x:f>
      </x:c>
      <x:c r="J22" s="40" t="n">
        <x:v>0.02</x:v>
      </x:c>
      <x:c r="K22" s="40" t="n">
        <x:f>IF(J22="","",J22*1000/$F22)</x:f>
        <x:v>0.3184713375796179</x:v>
      </x:c>
      <x:c r="L22" s="40" t="n">
        <x:v>0.77</x:v>
      </x:c>
      <x:c r="M22" s="40" t="n">
        <x:f>IF(L22="","",L22*1000/$F22)</x:f>
        <x:v>12.261146496815288</x:v>
      </x:c>
      <x:c r="N22" s="40"/>
      <x:c r="O22" s="40" t="str">
        <x:f>IF(N22="","",N22*1000/$F22)</x:f>
      </x:c>
      <x:c r="P22" s="40"/>
      <x:c r="Q22" s="40" t="str">
        <x:f>IF(P22="","",P22*1000/$F22)</x:f>
      </x:c>
      <x:c r="R22" s="40" t="n">
        <x:v>1.77</x:v>
      </x:c>
      <x:c r="S22" s="40" t="n">
        <x:f>IF(R22="","",R22*1000/$F22)</x:f>
        <x:v>28.18471337579618</x:v>
      </x:c>
      <x:c r="T22" s="40"/>
      <x:c r="U22" s="40" t="str">
        <x:f>IF(T22="","",T22*1000/$F22)</x:f>
      </x:c>
      <x:c r="V22" s="40"/>
      <x:c r="W22" s="40" t="str">
        <x:f>IF(V22="","",V22*1000/$F22)</x:f>
      </x:c>
      <x:c r="X22" s="40"/>
      <x:c r="Y22" s="40" t="str">
        <x:f>IF(X22="","",X22*1000/$F22)</x:f>
      </x:c>
      <x:c r="Z22" s="40"/>
      <x:c r="AA22" s="40" t="str">
        <x:f>IF(Z22="","",Z22*1000/$F22)</x:f>
      </x:c>
      <x:c r="AB22" s="40"/>
      <x:c r="AC22" s="40" t="str">
        <x:f>IF(AB22="","",AB22*1000/$F22)</x:f>
      </x:c>
      <x:c r="AD22" s="40" t="n">
        <x:v>2.55</x:v>
      </x:c>
      <x:c r="AE22" s="41" t="str">
        <x:v>OK</x:v>
      </x:c>
    </x:row>
    <x:row r="23">
      <x:c r="A23" s="38" t="str">
        <x:v>Сталь листовая</x:v>
      </x:c>
      <x:c r="B23" s="39" t="str">
        <x:v>Лист</x:v>
      </x:c>
      <x:c r="C23" s="39" t="str">
        <x:v>t10</x:v>
      </x:c>
      <x:c r="D23" s="39" t="str">
        <x:v>ГОСТ 19903-2015</x:v>
      </x:c>
      <x:c r="E23" s="39" t="str">
        <x:v>С255-4</x:v>
      </x:c>
      <x:c r="F23" s="40" t="n">
        <x:v>78.5</x:v>
      </x:c>
      <x:c r="G23" s="40" t="str">
        <x:v>кг/м²</x:v>
      </x:c>
      <x:c r="H23" s="40" t="n">
        <x:v>0.15</x:v>
      </x:c>
      <x:c r="I23" s="40" t="n">
        <x:f>IF(H23="","",H23*1000/$F23)</x:f>
        <x:v>1.910828025477707</x:v>
      </x:c>
      <x:c r="J23" s="40" t="n">
        <x:v>0.06</x:v>
      </x:c>
      <x:c r="K23" s="40" t="n">
        <x:f>IF(J23="","",J23*1000/$F23)</x:f>
        <x:v>0.7643312101910829</x:v>
      </x:c>
      <x:c r="L23" s="40" t="n">
        <x:v>1.78</x:v>
      </x:c>
      <x:c r="M23" s="40" t="n">
        <x:f>IF(L23="","",L23*1000/$F23)</x:f>
        <x:v>22.67515923566879</x:v>
      </x:c>
      <x:c r="N23" s="40"/>
      <x:c r="O23" s="40" t="str">
        <x:f>IF(N23="","",N23*1000/$F23)</x:f>
      </x:c>
      <x:c r="P23" s="40" t="n">
        <x:v>0.23</x:v>
      </x:c>
      <x:c r="Q23" s="40" t="n">
        <x:f>IF(P23="","",P23*1000/$F23)</x:f>
        <x:v>2.929936305732484</x:v>
      </x:c>
      <x:c r="R23" s="40" t="n">
        <x:v>0.09</x:v>
      </x:c>
      <x:c r="S23" s="40" t="n">
        <x:f>IF(R23="","",R23*1000/$F23)</x:f>
        <x:v>1.1464968152866242</x:v>
      </x:c>
      <x:c r="T23" s="40" t="n">
        <x:v>0.05</x:v>
      </x:c>
      <x:c r="U23" s="40" t="n">
        <x:f>IF(T23="","",T23*1000/$F23)</x:f>
        <x:v>0.6369426751592356</x:v>
      </x:c>
      <x:c r="V23" s="40" t="n">
        <x:v>0.33</x:v>
      </x:c>
      <x:c r="W23" s="40" t="n">
        <x:f>IF(V23="","",V23*1000/$F23)</x:f>
        <x:v>4.203821656050955</x:v>
      </x:c>
      <x:c r="X23" s="40"/>
      <x:c r="Y23" s="40" t="str">
        <x:f>IF(X23="","",X23*1000/$F23)</x:f>
      </x:c>
      <x:c r="Z23" s="40"/>
      <x:c r="AA23" s="40" t="str">
        <x:f>IF(Z23="","",Z23*1000/$F23)</x:f>
      </x:c>
      <x:c r="AB23" s="40"/>
      <x:c r="AC23" s="40" t="str">
        <x:f>IF(AB23="","",AB23*1000/$F23)</x:f>
      </x:c>
      <x:c r="AD23" s="40" t="n">
        <x:v>2.7</x:v>
      </x:c>
      <x:c r="AE23" s="41" t="str">
        <x:v>OK</x:v>
      </x:c>
    </x:row>
    <x:row r="24">
      <x:c r="A24" s="38" t="str">
        <x:v>Сталь листовая</x:v>
      </x:c>
      <x:c r="B24" s="39" t="str">
        <x:v>Лист</x:v>
      </x:c>
      <x:c r="C24" s="39" t="str">
        <x:v>t12</x:v>
      </x:c>
      <x:c r="D24" s="39" t="str">
        <x:v>ГОСТ 19903-2015</x:v>
      </x:c>
      <x:c r="E24" s="39" t="str">
        <x:v>С255-4</x:v>
      </x:c>
      <x:c r="F24" s="40" t="n">
        <x:v>94.19999999999999</x:v>
      </x:c>
      <x:c r="G24" s="40" t="str">
        <x:v>кг/м²</x:v>
      </x:c>
      <x:c r="H24" s="40" t="n">
        <x:v>0.07</x:v>
      </x:c>
      <x:c r="I24" s="40" t="n">
        <x:f>IF(H24="","",H24*1000/$F24)</x:f>
        <x:v>0.743099787685775</x:v>
      </x:c>
      <x:c r="J24" s="40" t="n">
        <x:v>0.07</x:v>
      </x:c>
      <x:c r="K24" s="40" t="n">
        <x:f>IF(J24="","",J24*1000/$F24)</x:f>
        <x:v>0.743099787685775</x:v>
      </x:c>
      <x:c r="L24" s="40" t="n">
        <x:v>2.69</x:v>
      </x:c>
      <x:c r="M24" s="40" t="n">
        <x:f>IF(L24="","",L24*1000/$F24)</x:f>
        <x:v>28.556263269639068</x:v>
      </x:c>
      <x:c r="N24" s="40"/>
      <x:c r="O24" s="40" t="str">
        <x:f>IF(N24="","",N24*1000/$F24)</x:f>
      </x:c>
      <x:c r="P24" s="40" t="n">
        <x:v>0.98</x:v>
      </x:c>
      <x:c r="Q24" s="40" t="n">
        <x:f>IF(P24="","",P24*1000/$F24)</x:f>
        <x:v>10.403397027600851</x:v>
      </x:c>
      <x:c r="R24" s="40" t="n">
        <x:v>0.1</x:v>
      </x:c>
      <x:c r="S24" s="40" t="n">
        <x:f>IF(R24="","",R24*1000/$F24)</x:f>
        <x:v>1.061571125265393</x:v>
      </x:c>
      <x:c r="T24" s="40" t="n">
        <x:v>0.08</x:v>
      </x:c>
      <x:c r="U24" s="40" t="n">
        <x:f>IF(T24="","",T24*1000/$F24)</x:f>
        <x:v>0.8492569002123144</x:v>
      </x:c>
      <x:c r="V24" s="40"/>
      <x:c r="W24" s="40" t="str">
        <x:f>IF(V24="","",V24*1000/$F24)</x:f>
      </x:c>
      <x:c r="X24" s="40"/>
      <x:c r="Y24" s="40" t="str">
        <x:f>IF(X24="","",X24*1000/$F24)</x:f>
      </x:c>
      <x:c r="Z24" s="40"/>
      <x:c r="AA24" s="40" t="str">
        <x:f>IF(Z24="","",Z24*1000/$F24)</x:f>
      </x:c>
      <x:c r="AB24" s="40"/>
      <x:c r="AC24" s="40" t="str">
        <x:f>IF(AB24="","",AB24*1000/$F24)</x:f>
      </x:c>
      <x:c r="AD24" s="40" t="n">
        <x:v>3.99</x:v>
      </x:c>
      <x:c r="AE24" s="41" t="str">
        <x:v>OK</x:v>
      </x:c>
    </x:row>
    <x:row r="25">
      <x:c r="A25" s="38" t="str">
        <x:v>Сталь листовая</x:v>
      </x:c>
      <x:c r="B25" s="39" t="str">
        <x:v>Лист</x:v>
      </x:c>
      <x:c r="C25" s="39" t="str">
        <x:v>t16</x:v>
      </x:c>
      <x:c r="D25" s="39" t="str">
        <x:v>ГОСТ 19903-2015</x:v>
      </x:c>
      <x:c r="E25" s="39" t="str">
        <x:v>С255-4</x:v>
      </x:c>
      <x:c r="F25" s="40" t="n">
        <x:v>125.6</x:v>
      </x:c>
      <x:c r="G25" s="40" t="str">
        <x:v>кг/м²</x:v>
      </x:c>
      <x:c r="H25" s="40"/>
      <x:c r="I25" s="40" t="str">
        <x:f>IF(H25="","",H25*1000/$F25)</x:f>
      </x:c>
      <x:c r="J25" s="40" t="n">
        <x:v>0.22</x:v>
      </x:c>
      <x:c r="K25" s="40" t="n">
        <x:f>IF(J25="","",J25*1000/$F25)</x:f>
        <x:v>1.7515923566878981</x:v>
      </x:c>
      <x:c r="L25" s="40"/>
      <x:c r="M25" s="40" t="str">
        <x:f>IF(L25="","",L25*1000/$F25)</x:f>
      </x:c>
      <x:c r="N25" s="40"/>
      <x:c r="O25" s="40" t="str">
        <x:f>IF(N25="","",N25*1000/$F25)</x:f>
      </x:c>
      <x:c r="P25" s="40"/>
      <x:c r="Q25" s="40" t="str">
        <x:f>IF(P25="","",P25*1000/$F25)</x:f>
      </x:c>
      <x:c r="R25" s="40"/>
      <x:c r="S25" s="40" t="str">
        <x:f>IF(R25="","",R25*1000/$F25)</x:f>
      </x:c>
      <x:c r="T25" s="40"/>
      <x:c r="U25" s="40" t="str">
        <x:f>IF(T25="","",T25*1000/$F25)</x:f>
      </x:c>
      <x:c r="V25" s="40"/>
      <x:c r="W25" s="40" t="str">
        <x:f>IF(V25="","",V25*1000/$F25)</x:f>
      </x:c>
      <x:c r="X25" s="40"/>
      <x:c r="Y25" s="40" t="str">
        <x:f>IF(X25="","",X25*1000/$F25)</x:f>
      </x:c>
      <x:c r="Z25" s="40"/>
      <x:c r="AA25" s="40" t="str">
        <x:f>IF(Z25="","",Z25*1000/$F25)</x:f>
      </x:c>
      <x:c r="AB25" s="40"/>
      <x:c r="AC25" s="40" t="str">
        <x:f>IF(AB25="","",AB25*1000/$F25)</x:f>
      </x:c>
      <x:c r="AD25" s="40" t="n">
        <x:v>0.22</x:v>
      </x:c>
      <x:c r="AE25" s="41" t="str">
        <x:v>OK</x:v>
      </x:c>
    </x:row>
    <x:row r="26">
      <x:c r="A26" s="38" t="str">
        <x:v>Сталь листовая</x:v>
      </x:c>
      <x:c r="B26" s="39" t="str">
        <x:v>Лист</x:v>
      </x:c>
      <x:c r="C26" s="39" t="str">
        <x:v>t20</x:v>
      </x:c>
      <x:c r="D26" s="39" t="str">
        <x:v>ГОСТ 19903-2015</x:v>
      </x:c>
      <x:c r="E26" s="39" t="str">
        <x:v>С255-4</x:v>
      </x:c>
      <x:c r="F26" s="40" t="n">
        <x:v>157</x:v>
      </x:c>
      <x:c r="G26" s="40" t="str">
        <x:v>кг/м²</x:v>
      </x:c>
      <x:c r="H26" s="40"/>
      <x:c r="I26" s="40" t="str">
        <x:f>IF(H26="","",H26*1000/$F26)</x:f>
      </x:c>
      <x:c r="J26" s="40" t="n">
        <x:v>0.07</x:v>
      </x:c>
      <x:c r="K26" s="40" t="n">
        <x:f>IF(J26="","",J26*1000/$F26)</x:f>
        <x:v>0.445859872611465</x:v>
      </x:c>
      <x:c r="L26" s="40"/>
      <x:c r="M26" s="40" t="str">
        <x:f>IF(L26="","",L26*1000/$F26)</x:f>
      </x:c>
      <x:c r="N26" s="40"/>
      <x:c r="O26" s="40" t="str">
        <x:f>IF(N26="","",N26*1000/$F26)</x:f>
      </x:c>
      <x:c r="P26" s="40"/>
      <x:c r="Q26" s="40" t="str">
        <x:f>IF(P26="","",P26*1000/$F26)</x:f>
      </x:c>
      <x:c r="R26" s="40"/>
      <x:c r="S26" s="40" t="str">
        <x:f>IF(R26="","",R26*1000/$F26)</x:f>
      </x:c>
      <x:c r="T26" s="40"/>
      <x:c r="U26" s="40" t="str">
        <x:f>IF(T26="","",T26*1000/$F26)</x:f>
      </x:c>
      <x:c r="V26" s="40"/>
      <x:c r="W26" s="40" t="str">
        <x:f>IF(V26="","",V26*1000/$F26)</x:f>
      </x:c>
      <x:c r="X26" s="40"/>
      <x:c r="Y26" s="40" t="str">
        <x:f>IF(X26="","",X26*1000/$F26)</x:f>
      </x:c>
      <x:c r="Z26" s="40"/>
      <x:c r="AA26" s="40" t="str">
        <x:f>IF(Z26="","",Z26*1000/$F26)</x:f>
      </x:c>
      <x:c r="AB26" s="40"/>
      <x:c r="AC26" s="40" t="str">
        <x:f>IF(AB26="","",AB26*1000/$F26)</x:f>
      </x:c>
      <x:c r="AD26" s="40" t="n">
        <x:v>0.07</x:v>
      </x:c>
      <x:c r="AE26" s="41" t="str">
        <x:v>OK</x:v>
      </x:c>
    </x:row>
    <x:row r="27">
      <x:c r="A27" s="38" t="str">
        <x:v>Сталь листовая</x:v>
      </x:c>
      <x:c r="B27" s="39" t="str">
        <x:v>Лист</x:v>
      </x:c>
      <x:c r="C27" s="39" t="str">
        <x:v>t30</x:v>
      </x:c>
      <x:c r="D27" s="39" t="str">
        <x:v>ГОСТ 19903-2015</x:v>
      </x:c>
      <x:c r="E27" s="39" t="str">
        <x:v>С255-4</x:v>
      </x:c>
      <x:c r="F27" s="40" t="n">
        <x:v>235.5</x:v>
      </x:c>
      <x:c r="G27" s="40" t="str">
        <x:v>кг/м²</x:v>
      </x:c>
      <x:c r="H27" s="40"/>
      <x:c r="I27" s="40" t="str">
        <x:f>IF(H27="","",H27*1000/$F27)</x:f>
      </x:c>
      <x:c r="J27" s="40"/>
      <x:c r="K27" s="40" t="str">
        <x:f>IF(J27="","",J27*1000/$F27)</x:f>
      </x:c>
      <x:c r="L27" s="40"/>
      <x:c r="M27" s="40" t="str">
        <x:f>IF(L27="","",L27*1000/$F27)</x:f>
      </x:c>
      <x:c r="N27" s="40"/>
      <x:c r="O27" s="40" t="str">
        <x:f>IF(N27="","",N27*1000/$F27)</x:f>
      </x:c>
      <x:c r="P27" s="40"/>
      <x:c r="Q27" s="40" t="str">
        <x:f>IF(P27="","",P27*1000/$F27)</x:f>
      </x:c>
      <x:c r="R27" s="40"/>
      <x:c r="S27" s="40" t="str">
        <x:f>IF(R27="","",R27*1000/$F27)</x:f>
      </x:c>
      <x:c r="T27" s="40"/>
      <x:c r="U27" s="40" t="str">
        <x:f>IF(T27="","",T27*1000/$F27)</x:f>
      </x:c>
      <x:c r="V27" s="40"/>
      <x:c r="W27" s="40" t="str">
        <x:f>IF(V27="","",V27*1000/$F27)</x:f>
      </x:c>
      <x:c r="X27" s="40"/>
      <x:c r="Y27" s="40" t="str">
        <x:f>IF(X27="","",X27*1000/$F27)</x:f>
      </x:c>
      <x:c r="Z27" s="40" t="n">
        <x:v>1.27</x:v>
      </x:c>
      <x:c r="AA27" s="40" t="n">
        <x:f>IF(Z27="","",Z27*1000/$F27)</x:f>
        <x:v>5.392781316348195</x:v>
      </x:c>
      <x:c r="AB27" s="40"/>
      <x:c r="AC27" s="40" t="str">
        <x:f>IF(AB27="","",AB27*1000/$F27)</x:f>
      </x:c>
      <x:c r="AD27" s="40" t="n">
        <x:v>1.27</x:v>
      </x:c>
      <x:c r="AE27" s="41" t="str">
        <x:v>OK</x:v>
      </x:c>
    </x:row>
    <x:row r="28">
      <x:c r="A28" s="38" t="str">
        <x:v>Сталь листовая</x:v>
      </x:c>
      <x:c r="B28" s="39" t="str">
        <x:v>Лист</x:v>
      </x:c>
      <x:c r="C28" s="39" t="str">
        <x:v>t6</x:v>
      </x:c>
      <x:c r="D28" s="39" t="str">
        <x:v>ГОСТ 19903-2015</x:v>
      </x:c>
      <x:c r="E28" s="39" t="str">
        <x:v>С355-5</x:v>
      </x:c>
      <x:c r="F28" s="40" t="n">
        <x:v>47.099999999999994</x:v>
      </x:c>
      <x:c r="G28" s="40" t="str">
        <x:v>кг/м²</x:v>
      </x:c>
      <x:c r="H28" s="40"/>
      <x:c r="I28" s="40" t="str">
        <x:f>IF(H28="","",H28*1000/$F28)</x:f>
      </x:c>
      <x:c r="J28" s="40"/>
      <x:c r="K28" s="40" t="str">
        <x:f>IF(J28="","",J28*1000/$F28)</x:f>
      </x:c>
      <x:c r="L28" s="40"/>
      <x:c r="M28" s="40" t="str">
        <x:f>IF(L28="","",L28*1000/$F28)</x:f>
      </x:c>
      <x:c r="N28" s="40"/>
      <x:c r="O28" s="40" t="str">
        <x:f>IF(N28="","",N28*1000/$F28)</x:f>
      </x:c>
      <x:c r="P28" s="40" t="n">
        <x:v>0.16</x:v>
      </x:c>
      <x:c r="Q28" s="40" t="n">
        <x:f>IF(P28="","",P28*1000/$F28)</x:f>
        <x:v>3.3970276008492575</x:v>
      </x:c>
      <x:c r="R28" s="40"/>
      <x:c r="S28" s="40" t="str">
        <x:f>IF(R28="","",R28*1000/$F28)</x:f>
      </x:c>
      <x:c r="T28" s="40"/>
      <x:c r="U28" s="40" t="str">
        <x:f>IF(T28="","",T28*1000/$F28)</x:f>
      </x:c>
      <x:c r="V28" s="40" t="n">
        <x:v>3.74</x:v>
      </x:c>
      <x:c r="W28" s="40" t="n">
        <x:f>IF(V28="","",V28*1000/$F28)</x:f>
        <x:v>79.40552016985139</x:v>
      </x:c>
      <x:c r="X28" s="40"/>
      <x:c r="Y28" s="40" t="str">
        <x:f>IF(X28="","",X28*1000/$F28)</x:f>
      </x:c>
      <x:c r="Z28" s="40"/>
      <x:c r="AA28" s="40" t="str">
        <x:f>IF(Z28="","",Z28*1000/$F28)</x:f>
      </x:c>
      <x:c r="AB28" s="40"/>
      <x:c r="AC28" s="40" t="str">
        <x:f>IF(AB28="","",AB28*1000/$F28)</x:f>
      </x:c>
      <x:c r="AD28" s="40" t="n">
        <x:v>3.89</x:v>
      </x:c>
      <x:c r="AE28" s="41" t="str">
        <x:v>OK</x:v>
      </x:c>
    </x:row>
    <x:row r="29">
      <x:c r="A29" s="38" t="str">
        <x:v>Сталь листовая</x:v>
      </x:c>
      <x:c r="B29" s="39" t="str">
        <x:v>Лист</x:v>
      </x:c>
      <x:c r="C29" s="39" t="str">
        <x:v>t8</x:v>
      </x:c>
      <x:c r="D29" s="39" t="str">
        <x:v>ГОСТ 19903-2015</x:v>
      </x:c>
      <x:c r="E29" s="39" t="str">
        <x:v>С355-5</x:v>
      </x:c>
      <x:c r="F29" s="40" t="n">
        <x:v>62.8</x:v>
      </x:c>
      <x:c r="G29" s="40" t="str">
        <x:v>кг/м²</x:v>
      </x:c>
      <x:c r="H29" s="40"/>
      <x:c r="I29" s="40" t="str">
        <x:f>IF(H29="","",H29*1000/$F29)</x:f>
      </x:c>
      <x:c r="J29" s="40"/>
      <x:c r="K29" s="40" t="str">
        <x:f>IF(J29="","",J29*1000/$F29)</x:f>
      </x:c>
      <x:c r="L29" s="40"/>
      <x:c r="M29" s="40" t="str">
        <x:f>IF(L29="","",L29*1000/$F29)</x:f>
      </x:c>
      <x:c r="N29" s="40"/>
      <x:c r="O29" s="40" t="str">
        <x:f>IF(N29="","",N29*1000/$F29)</x:f>
      </x:c>
      <x:c r="P29" s="40" t="n">
        <x:v>0.15</x:v>
      </x:c>
      <x:c r="Q29" s="40" t="n">
        <x:f>IF(P29="","",P29*1000/$F29)</x:f>
        <x:v>2.388535031847134</x:v>
      </x:c>
      <x:c r="R29" s="40"/>
      <x:c r="S29" s="40" t="str">
        <x:f>IF(R29="","",R29*1000/$F29)</x:f>
      </x:c>
      <x:c r="T29" s="40"/>
      <x:c r="U29" s="40" t="str">
        <x:f>IF(T29="","",T29*1000/$F29)</x:f>
      </x:c>
      <x:c r="V29" s="40" t="n">
        <x:v>1.07</x:v>
      </x:c>
      <x:c r="W29" s="40" t="n">
        <x:f>IF(V29="","",V29*1000/$F29)</x:f>
        <x:v>17.038216560509554</x:v>
      </x:c>
      <x:c r="X29" s="40"/>
      <x:c r="Y29" s="40" t="str">
        <x:f>IF(X29="","",X29*1000/$F29)</x:f>
      </x:c>
      <x:c r="Z29" s="40"/>
      <x:c r="AA29" s="40" t="str">
        <x:f>IF(Z29="","",Z29*1000/$F29)</x:f>
      </x:c>
      <x:c r="AB29" s="40"/>
      <x:c r="AC29" s="40" t="str">
        <x:f>IF(AB29="","",AB29*1000/$F29)</x:f>
      </x:c>
      <x:c r="AD29" s="40" t="n">
        <x:v>1.23</x:v>
      </x:c>
      <x:c r="AE29" s="41" t="str">
        <x:v>OK</x:v>
      </x:c>
    </x:row>
    <x:row r="30">
      <x:c r="A30" s="38" t="str">
        <x:v>Сталь листовая</x:v>
      </x:c>
      <x:c r="B30" s="39" t="str">
        <x:v>Лист</x:v>
      </x:c>
      <x:c r="C30" s="39" t="str">
        <x:v>t10</x:v>
      </x:c>
      <x:c r="D30" s="39" t="str">
        <x:v>ГОСТ 19903-2015</x:v>
      </x:c>
      <x:c r="E30" s="39" t="str">
        <x:v>С355-5</x:v>
      </x:c>
      <x:c r="F30" s="40" t="n">
        <x:v>78.5</x:v>
      </x:c>
      <x:c r="G30" s="40" t="str">
        <x:v>кг/м²</x:v>
      </x:c>
      <x:c r="H30" s="40" t="n">
        <x:v>0.28</x:v>
      </x:c>
      <x:c r="I30" s="40" t="n">
        <x:f>IF(H30="","",H30*1000/$F30)</x:f>
        <x:v>3.56687898089172</x:v>
      </x:c>
      <x:c r="J30" s="40" t="n">
        <x:v>0.01</x:v>
      </x:c>
      <x:c r="K30" s="40" t="n">
        <x:f>IF(J30="","",J30*1000/$F30)</x:f>
        <x:v>0.12738853503184713</x:v>
      </x:c>
      <x:c r="L30" s="40"/>
      <x:c r="M30" s="40" t="str">
        <x:f>IF(L30="","",L30*1000/$F30)</x:f>
      </x:c>
      <x:c r="N30" s="40"/>
      <x:c r="O30" s="40" t="str">
        <x:f>IF(N30="","",N30*1000/$F30)</x:f>
      </x:c>
      <x:c r="P30" s="40"/>
      <x:c r="Q30" s="40" t="str">
        <x:f>IF(P30="","",P30*1000/$F30)</x:f>
      </x:c>
      <x:c r="R30" s="40"/>
      <x:c r="S30" s="40" t="str">
        <x:f>IF(R30="","",R30*1000/$F30)</x:f>
      </x:c>
      <x:c r="T30" s="40"/>
      <x:c r="U30" s="40" t="str">
        <x:f>IF(T30="","",T30*1000/$F30)</x:f>
      </x:c>
      <x:c r="V30" s="40"/>
      <x:c r="W30" s="40" t="str">
        <x:f>IF(V30="","",V30*1000/$F30)</x:f>
      </x:c>
      <x:c r="X30" s="40"/>
      <x:c r="Y30" s="40" t="str">
        <x:f>IF(X30="","",X30*1000/$F30)</x:f>
      </x:c>
      <x:c r="Z30" s="40"/>
      <x:c r="AA30" s="40" t="str">
        <x:f>IF(Z30="","",Z30*1000/$F30)</x:f>
      </x:c>
      <x:c r="AB30" s="40"/>
      <x:c r="AC30" s="40" t="str">
        <x:f>IF(AB30="","",AB30*1000/$F30)</x:f>
      </x:c>
      <x:c r="AD30" s="40" t="n">
        <x:v>0.28</x:v>
      </x:c>
      <x:c r="AE30" s="41" t="str">
        <x:v>OK</x:v>
      </x:c>
    </x:row>
    <x:row r="31">
      <x:c r="A31" s="38" t="str">
        <x:v>Сталь листовая</x:v>
      </x:c>
      <x:c r="B31" s="39" t="str">
        <x:v>Лист</x:v>
      </x:c>
      <x:c r="C31" s="39" t="str">
        <x:v>t12</x:v>
      </x:c>
      <x:c r="D31" s="39" t="str">
        <x:v>ГОСТ 19903-2015</x:v>
      </x:c>
      <x:c r="E31" s="39" t="str">
        <x:v>С355-5</x:v>
      </x:c>
      <x:c r="F31" s="40" t="n">
        <x:v>94.19999999999999</x:v>
      </x:c>
      <x:c r="G31" s="40" t="str">
        <x:v>кг/м²</x:v>
      </x:c>
      <x:c r="H31" s="40"/>
      <x:c r="I31" s="40" t="str">
        <x:f>IF(H31="","",H31*1000/$F31)</x:f>
      </x:c>
      <x:c r="J31" s="40"/>
      <x:c r="K31" s="40" t="str">
        <x:f>IF(J31="","",J31*1000/$F31)</x:f>
      </x:c>
      <x:c r="L31" s="40"/>
      <x:c r="M31" s="40" t="str">
        <x:f>IF(L31="","",L31*1000/$F31)</x:f>
      </x:c>
      <x:c r="N31" s="40"/>
      <x:c r="O31" s="40" t="str">
        <x:f>IF(N31="","",N31*1000/$F31)</x:f>
      </x:c>
      <x:c r="P31" s="40" t="n">
        <x:v>0.01</x:v>
      </x:c>
      <x:c r="Q31" s="40" t="n">
        <x:f>IF(P31="","",P31*1000/$F31)</x:f>
        <x:v>0.1061571125265393</x:v>
      </x:c>
      <x:c r="R31" s="40"/>
      <x:c r="S31" s="40" t="str">
        <x:f>IF(R31="","",R31*1000/$F31)</x:f>
      </x:c>
      <x:c r="T31" s="40"/>
      <x:c r="U31" s="40" t="str">
        <x:f>IF(T31="","",T31*1000/$F31)</x:f>
      </x:c>
      <x:c r="V31" s="40" t="n">
        <x:v>4.76</x:v>
      </x:c>
      <x:c r="W31" s="40" t="n">
        <x:f>IF(V31="","",V31*1000/$F31)</x:f>
        <x:v>50.5307855626327</x:v>
      </x:c>
      <x:c r="X31" s="40"/>
      <x:c r="Y31" s="40" t="str">
        <x:f>IF(X31="","",X31*1000/$F31)</x:f>
      </x:c>
      <x:c r="Z31" s="40"/>
      <x:c r="AA31" s="40" t="str">
        <x:f>IF(Z31="","",Z31*1000/$F31)</x:f>
      </x:c>
      <x:c r="AB31" s="40"/>
      <x:c r="AC31" s="40" t="str">
        <x:f>IF(AB31="","",AB31*1000/$F31)</x:f>
      </x:c>
      <x:c r="AD31" s="40" t="n">
        <x:v>4.77</x:v>
      </x:c>
      <x:c r="AE31" s="41" t="str">
        <x:v>OK</x:v>
      </x:c>
    </x:row>
    <x:row r="32">
      <x:c r="A32" s="38" t="str">
        <x:v>Сталь листовая</x:v>
      </x:c>
      <x:c r="B32" s="39" t="str">
        <x:v>Лист</x:v>
      </x:c>
      <x:c r="C32" s="39" t="str">
        <x:v>t14</x:v>
      </x:c>
      <x:c r="D32" s="39" t="str">
        <x:v>ГОСТ 19903-2015</x:v>
      </x:c>
      <x:c r="E32" s="39" t="str">
        <x:v>С355-5</x:v>
      </x:c>
      <x:c r="F32" s="40" t="n">
        <x:v>109.89999999999999</x:v>
      </x:c>
      <x:c r="G32" s="40" t="str">
        <x:v>кг/м²</x:v>
      </x:c>
      <x:c r="H32" s="40"/>
      <x:c r="I32" s="40" t="str">
        <x:f>IF(H32="","",H32*1000/$F32)</x:f>
      </x:c>
      <x:c r="J32" s="40"/>
      <x:c r="K32" s="40" t="str">
        <x:f>IF(J32="","",J32*1000/$F32)</x:f>
      </x:c>
      <x:c r="L32" s="40"/>
      <x:c r="M32" s="40" t="str">
        <x:f>IF(L32="","",L32*1000/$F32)</x:f>
      </x:c>
      <x:c r="N32" s="40"/>
      <x:c r="O32" s="40" t="str">
        <x:f>IF(N32="","",N32*1000/$F32)</x:f>
      </x:c>
      <x:c r="P32" s="40"/>
      <x:c r="Q32" s="40" t="str">
        <x:f>IF(P32="","",P32*1000/$F32)</x:f>
      </x:c>
      <x:c r="R32" s="40"/>
      <x:c r="S32" s="40" t="str">
        <x:f>IF(R32="","",R32*1000/$F32)</x:f>
      </x:c>
      <x:c r="T32" s="40"/>
      <x:c r="U32" s="40" t="str">
        <x:f>IF(T32="","",T32*1000/$F32)</x:f>
      </x:c>
      <x:c r="V32" s="40" t="n">
        <x:v>8.87</x:v>
      </x:c>
      <x:c r="W32" s="40" t="n">
        <x:f>IF(V32="","",V32*1000/$F32)</x:f>
        <x:v>80.70973612374887</x:v>
      </x:c>
      <x:c r="X32" s="40"/>
      <x:c r="Y32" s="40" t="str">
        <x:f>IF(X32="","",X32*1000/$F32)</x:f>
      </x:c>
      <x:c r="Z32" s="40"/>
      <x:c r="AA32" s="40" t="str">
        <x:f>IF(Z32="","",Z32*1000/$F32)</x:f>
      </x:c>
      <x:c r="AB32" s="40"/>
      <x:c r="AC32" s="40" t="str">
        <x:f>IF(AB32="","",AB32*1000/$F32)</x:f>
      </x:c>
      <x:c r="AD32" s="40" t="n">
        <x:v>8.87</x:v>
      </x:c>
      <x:c r="AE32" s="41" t="str">
        <x:v>OK</x:v>
      </x:c>
    </x:row>
    <x:row r="33">
      <x:c r="A33" s="38" t="str">
        <x:v>Сталь листовая</x:v>
      </x:c>
      <x:c r="B33" s="39" t="str">
        <x:v>Лист</x:v>
      </x:c>
      <x:c r="C33" s="39" t="str">
        <x:v>t16</x:v>
      </x:c>
      <x:c r="D33" s="39" t="str">
        <x:v>ГОСТ 19903-2015</x:v>
      </x:c>
      <x:c r="E33" s="39" t="str">
        <x:v>С355-5</x:v>
      </x:c>
      <x:c r="F33" s="40" t="n">
        <x:v>125.6</x:v>
      </x:c>
      <x:c r="G33" s="40" t="str">
        <x:v>кг/м²</x:v>
      </x:c>
      <x:c r="H33" s="40" t="n">
        <x:v>0.64</x:v>
      </x:c>
      <x:c r="I33" s="40" t="n">
        <x:f>IF(H33="","",H33*1000/$F33)</x:f>
        <x:v>5.095541401273886</x:v>
      </x:c>
      <x:c r="J33" s="40"/>
      <x:c r="K33" s="40" t="str">
        <x:f>IF(J33="","",J33*1000/$F33)</x:f>
      </x:c>
      <x:c r="L33" s="40"/>
      <x:c r="M33" s="40" t="str">
        <x:f>IF(L33="","",L33*1000/$F33)</x:f>
      </x:c>
      <x:c r="N33" s="40"/>
      <x:c r="O33" s="40" t="str">
        <x:f>IF(N33="","",N33*1000/$F33)</x:f>
      </x:c>
      <x:c r="P33" s="40" t="n">
        <x:v>0.84</x:v>
      </x:c>
      <x:c r="Q33" s="40" t="n">
        <x:f>IF(P33="","",P33*1000/$F33)</x:f>
        <x:v>6.687898089171975</x:v>
      </x:c>
      <x:c r="R33" s="40"/>
      <x:c r="S33" s="40" t="str">
        <x:f>IF(R33="","",R33*1000/$F33)</x:f>
      </x:c>
      <x:c r="T33" s="40"/>
      <x:c r="U33" s="40" t="str">
        <x:f>IF(T33="","",T33*1000/$F33)</x:f>
      </x:c>
      <x:c r="V33" s="40"/>
      <x:c r="W33" s="40" t="str">
        <x:f>IF(V33="","",V33*1000/$F33)</x:f>
      </x:c>
      <x:c r="X33" s="40"/>
      <x:c r="Y33" s="40" t="str">
        <x:f>IF(X33="","",X33*1000/$F33)</x:f>
      </x:c>
      <x:c r="Z33" s="40"/>
      <x:c r="AA33" s="40" t="str">
        <x:f>IF(Z33="","",Z33*1000/$F33)</x:f>
      </x:c>
      <x:c r="AB33" s="40"/>
      <x:c r="AC33" s="40" t="str">
        <x:f>IF(AB33="","",AB33*1000/$F33)</x:f>
      </x:c>
      <x:c r="AD33" s="40" t="n">
        <x:v>1.48</x:v>
      </x:c>
      <x:c r="AE33" s="41" t="str">
        <x:v>OK</x:v>
      </x:c>
    </x:row>
    <x:row r="34">
      <x:c r="A34" s="38" t="str">
        <x:v>Сталь листовая</x:v>
      </x:c>
      <x:c r="B34" s="39" t="str">
        <x:v>Лист</x:v>
      </x:c>
      <x:c r="C34" s="39" t="str">
        <x:v>t20</x:v>
      </x:c>
      <x:c r="D34" s="39" t="str">
        <x:v>ГОСТ 19903-2015</x:v>
      </x:c>
      <x:c r="E34" s="39" t="str">
        <x:v>С355-5</x:v>
      </x:c>
      <x:c r="F34" s="40" t="n">
        <x:v>157</x:v>
      </x:c>
      <x:c r="G34" s="40" t="str">
        <x:v>кг/м²</x:v>
      </x:c>
      <x:c r="H34" s="40" t="n">
        <x:v>0.8</x:v>
      </x:c>
      <x:c r="I34" s="40" t="n">
        <x:f>IF(H34="","",H34*1000/$F34)</x:f>
        <x:v>5.095541401273885</x:v>
      </x:c>
      <x:c r="J34" s="40" t="n">
        <x:v>0.04</x:v>
      </x:c>
      <x:c r="K34" s="40" t="n">
        <x:f>IF(J34="","",J34*1000/$F34)</x:f>
        <x:v>0.25477707006369427</x:v>
      </x:c>
      <x:c r="L34" s="40"/>
      <x:c r="M34" s="40" t="str">
        <x:f>IF(L34="","",L34*1000/$F34)</x:f>
      </x:c>
      <x:c r="N34" s="40"/>
      <x:c r="O34" s="40" t="str">
        <x:f>IF(N34="","",N34*1000/$F34)</x:f>
      </x:c>
      <x:c r="P34" s="40" t="n">
        <x:v>1.55</x:v>
      </x:c>
      <x:c r="Q34" s="40" t="n">
        <x:f>IF(P34="","",P34*1000/$F34)</x:f>
        <x:v>9.872611464968152</x:v>
      </x:c>
      <x:c r="R34" s="40"/>
      <x:c r="S34" s="40" t="str">
        <x:f>IF(R34="","",R34*1000/$F34)</x:f>
      </x:c>
      <x:c r="T34" s="40"/>
      <x:c r="U34" s="40" t="str">
        <x:f>IF(T34="","",T34*1000/$F34)</x:f>
      </x:c>
      <x:c r="V34" s="40" t="n">
        <x:v>0.71</x:v>
      </x:c>
      <x:c r="W34" s="40" t="n">
        <x:f>IF(V34="","",V34*1000/$F34)</x:f>
        <x:v>4.522292993630574</x:v>
      </x:c>
      <x:c r="X34" s="40"/>
      <x:c r="Y34" s="40" t="str">
        <x:f>IF(X34="","",X34*1000/$F34)</x:f>
      </x:c>
      <x:c r="Z34" s="40"/>
      <x:c r="AA34" s="40" t="str">
        <x:f>IF(Z34="","",Z34*1000/$F34)</x:f>
      </x:c>
      <x:c r="AB34" s="40"/>
      <x:c r="AC34" s="40" t="str">
        <x:f>IF(AB34="","",AB34*1000/$F34)</x:f>
      </x:c>
      <x:c r="AD34" s="40" t="n">
        <x:v>3.09</x:v>
      </x:c>
      <x:c r="AE34" s="41" t="str">
        <x:v>OK</x:v>
      </x:c>
    </x:row>
    <x:row r="35">
      <x:c r="A35" s="38" t="str">
        <x:v>Сталь листовая</x:v>
      </x:c>
      <x:c r="B35" s="39" t="str">
        <x:v>Лист</x:v>
      </x:c>
      <x:c r="C35" s="39" t="str">
        <x:v>t30</x:v>
      </x:c>
      <x:c r="D35" s="39" t="str">
        <x:v>ГОСТ 19903-2015</x:v>
      </x:c>
      <x:c r="E35" s="39" t="str">
        <x:v>С355-5</x:v>
      </x:c>
      <x:c r="F35" s="40" t="n">
        <x:v>235.5</x:v>
      </x:c>
      <x:c r="G35" s="40" t="str">
        <x:v>кг/м²</x:v>
      </x:c>
      <x:c r="H35" s="40" t="n">
        <x:v>0.46</x:v>
      </x:c>
      <x:c r="I35" s="40" t="n">
        <x:f>IF(H35="","",H35*1000/$F35)</x:f>
        <x:v>1.9532908704883227</x:v>
      </x:c>
      <x:c r="J35" s="40"/>
      <x:c r="K35" s="40" t="str">
        <x:f>IF(J35="","",J35*1000/$F35)</x:f>
      </x:c>
      <x:c r="L35" s="40"/>
      <x:c r="M35" s="40" t="str">
        <x:f>IF(L35="","",L35*1000/$F35)</x:f>
      </x:c>
      <x:c r="N35" s="40"/>
      <x:c r="O35" s="40" t="str">
        <x:f>IF(N35="","",N35*1000/$F35)</x:f>
      </x:c>
      <x:c r="P35" s="40"/>
      <x:c r="Q35" s="40" t="str">
        <x:f>IF(P35="","",P35*1000/$F35)</x:f>
      </x:c>
      <x:c r="R35" s="40"/>
      <x:c r="S35" s="40" t="str">
        <x:f>IF(R35="","",R35*1000/$F35)</x:f>
      </x:c>
      <x:c r="T35" s="40"/>
      <x:c r="U35" s="40" t="str">
        <x:f>IF(T35="","",T35*1000/$F35)</x:f>
      </x:c>
      <x:c r="V35" s="40"/>
      <x:c r="W35" s="40" t="str">
        <x:f>IF(V35="","",V35*1000/$F35)</x:f>
      </x:c>
      <x:c r="X35" s="40"/>
      <x:c r="Y35" s="40" t="str">
        <x:f>IF(X35="","",X35*1000/$F35)</x:f>
      </x:c>
      <x:c r="Z35" s="40"/>
      <x:c r="AA35" s="40" t="str">
        <x:f>IF(Z35="","",Z35*1000/$F35)</x:f>
      </x:c>
      <x:c r="AB35" s="40"/>
      <x:c r="AC35" s="40" t="str">
        <x:f>IF(AB35="","",AB35*1000/$F35)</x:f>
      </x:c>
      <x:c r="AD35" s="40" t="n">
        <x:v>0.46</x:v>
      </x:c>
      <x:c r="AE35" s="41" t="str">
        <x:v>OK</x:v>
      </x:c>
    </x:row>
    <x:row r="36">
      <x:c r="A36" s="38" t="str">
        <x:v>Сталь листовая</x:v>
      </x:c>
      <x:c r="B36" s="39" t="str">
        <x:v>Лист</x:v>
      </x:c>
      <x:c r="C36" s="39" t="str">
        <x:v>t34</x:v>
      </x:c>
      <x:c r="D36" s="39" t="str">
        <x:v>ГОСТ 19903-2015</x:v>
      </x:c>
      <x:c r="E36" s="39" t="str">
        <x:v>С355-5</x:v>
      </x:c>
      <x:c r="F36" s="40" t="n">
        <x:v>266.9</x:v>
      </x:c>
      <x:c r="G36" s="40" t="str">
        <x:v>кг/м²</x:v>
      </x:c>
      <x:c r="H36" s="40"/>
      <x:c r="I36" s="40" t="str">
        <x:f>IF(H36="","",H36*1000/$F36)</x:f>
      </x:c>
      <x:c r="J36" s="40"/>
      <x:c r="K36" s="40" t="str">
        <x:f>IF(J36="","",J36*1000/$F36)</x:f>
      </x:c>
      <x:c r="L36" s="40"/>
      <x:c r="M36" s="40" t="str">
        <x:f>IF(L36="","",L36*1000/$F36)</x:f>
      </x:c>
      <x:c r="N36" s="40"/>
      <x:c r="O36" s="40" t="str">
        <x:f>IF(N36="","",N36*1000/$F36)</x:f>
      </x:c>
      <x:c r="P36" s="40"/>
      <x:c r="Q36" s="40" t="str">
        <x:f>IF(P36="","",P36*1000/$F36)</x:f>
      </x:c>
      <x:c r="R36" s="40"/>
      <x:c r="S36" s="40" t="str">
        <x:f>IF(R36="","",R36*1000/$F36)</x:f>
      </x:c>
      <x:c r="T36" s="40"/>
      <x:c r="U36" s="40" t="str">
        <x:f>IF(T36="","",T36*1000/$F36)</x:f>
      </x:c>
      <x:c r="V36" s="40" t="n">
        <x:v>0.02</x:v>
      </x:c>
      <x:c r="W36" s="40" t="n">
        <x:f>IF(V36="","",V36*1000/$F36)</x:f>
        <x:v>0.0749344323716748</x:v>
      </x:c>
      <x:c r="X36" s="40"/>
      <x:c r="Y36" s="40" t="str">
        <x:f>IF(X36="","",X36*1000/$F36)</x:f>
      </x:c>
      <x:c r="Z36" s="40"/>
      <x:c r="AA36" s="40" t="str">
        <x:f>IF(Z36="","",Z36*1000/$F36)</x:f>
      </x:c>
      <x:c r="AB36" s="40"/>
      <x:c r="AC36" s="40" t="str">
        <x:f>IF(AB36="","",AB36*1000/$F36)</x:f>
      </x:c>
      <x:c r="AD36" s="40" t="n">
        <x:v>0.02</x:v>
      </x:c>
      <x:c r="AE36" s="41" t="str">
        <x:v>OK</x:v>
      </x:c>
    </x:row>
    <x:row r="37">
      <x:c r="A37" s="54" t="str">
        <x:v>Профильные трубы</x:v>
      </x:c>
      <x:c r="B37" s="55" t="str">
        <x:v>Труба профильная</x:v>
      </x:c>
      <x:c r="C37" s="55" t="str">
        <x:v>Гн.80×80×5</x:v>
      </x:c>
      <x:c r="D37" s="55" t="str">
        <x:v>ГОСТ 30245-2003</x:v>
      </x:c>
      <x:c r="E37" s="55" t="str">
        <x:v>С255-4</x:v>
      </x:c>
      <x:c r="F37" s="56" t="n">
        <x:v>11.44</x:v>
      </x:c>
      <x:c r="G37" s="56" t="str">
        <x:v>кг/м</x:v>
      </x:c>
      <x:c r="H37" s="56"/>
      <x:c r="I37" s="56" t="str">
        <x:f>IF(H37="","",H37*1000/$F37)</x:f>
      </x:c>
      <x:c r="J37" s="56"/>
      <x:c r="K37" s="56" t="str">
        <x:f>IF(J37="","",J37*1000/$F37)</x:f>
      </x:c>
      <x:c r="L37" s="56" t="n">
        <x:v>1.05</x:v>
      </x:c>
      <x:c r="M37" s="56" t="n">
        <x:f>IF(L37="","",L37*1000/$F37)</x:f>
        <x:v>91.78321678321679</x:v>
      </x:c>
      <x:c r="N37" s="56"/>
      <x:c r="O37" s="56" t="str">
        <x:f>IF(N37="","",N37*1000/$F37)</x:f>
      </x:c>
      <x:c r="P37" s="56"/>
      <x:c r="Q37" s="56" t="str">
        <x:f>IF(P37="","",P37*1000/$F37)</x:f>
      </x:c>
      <x:c r="R37" s="56"/>
      <x:c r="S37" s="56" t="str">
        <x:f>IF(R37="","",R37*1000/$F37)</x:f>
      </x:c>
      <x:c r="T37" s="56"/>
      <x:c r="U37" s="56" t="str">
        <x:f>IF(T37="","",T37*1000/$F37)</x:f>
      </x:c>
      <x:c r="V37" s="56"/>
      <x:c r="W37" s="56" t="str">
        <x:f>IF(V37="","",V37*1000/$F37)</x:f>
      </x:c>
      <x:c r="X37" s="56"/>
      <x:c r="Y37" s="56" t="str">
        <x:f>IF(X37="","",X37*1000/$F37)</x:f>
      </x:c>
      <x:c r="Z37" s="56"/>
      <x:c r="AA37" s="56" t="str">
        <x:f>IF(Z37="","",Z37*1000/$F37)</x:f>
      </x:c>
      <x:c r="AB37" s="56"/>
      <x:c r="AC37" s="56" t="str">
        <x:f>IF(AB37="","",AB37*1000/$F37)</x:f>
      </x:c>
      <x:c r="AD37" s="56" t="n">
        <x:v>1.05</x:v>
      </x:c>
      <x:c r="AE37" s="57" t="str">
        <x:v>Проверить 23met по ГОСТ 30245-2003</x:v>
      </x:c>
    </x:row>
    <x:row r="38">
      <x:c r="A38" s="54" t="str">
        <x:v>Профильные трубы</x:v>
      </x:c>
      <x:c r="B38" s="55" t="str">
        <x:v>Труба профильная</x:v>
      </x:c>
      <x:c r="C38" s="55" t="str">
        <x:v>Гн.80×80×4</x:v>
      </x:c>
      <x:c r="D38" s="55" t="str">
        <x:v>ГОСТ 30245-2003</x:v>
      </x:c>
      <x:c r="E38" s="55" t="str">
        <x:v>С255-4</x:v>
      </x:c>
      <x:c r="F38" s="56" t="n">
        <x:v>9.33</x:v>
      </x:c>
      <x:c r="G38" s="56" t="str">
        <x:v>кг/м</x:v>
      </x:c>
      <x:c r="H38" s="56"/>
      <x:c r="I38" s="56" t="str">
        <x:f>IF(H38="","",H38*1000/$F38)</x:f>
      </x:c>
      <x:c r="J38" s="56"/>
      <x:c r="K38" s="56" t="str">
        <x:f>IF(J38="","",J38*1000/$F38)</x:f>
      </x:c>
      <x:c r="L38" s="56"/>
      <x:c r="M38" s="56" t="str">
        <x:f>IF(L38="","",L38*1000/$F38)</x:f>
      </x:c>
      <x:c r="N38" s="56"/>
      <x:c r="O38" s="56" t="str">
        <x:f>IF(N38="","",N38*1000/$F38)</x:f>
      </x:c>
      <x:c r="P38" s="56"/>
      <x:c r="Q38" s="56" t="str">
        <x:f>IF(P38="","",P38*1000/$F38)</x:f>
      </x:c>
      <x:c r="R38" s="56"/>
      <x:c r="S38" s="56" t="str">
        <x:f>IF(R38="","",R38*1000/$F38)</x:f>
      </x:c>
      <x:c r="T38" s="56"/>
      <x:c r="U38" s="56" t="str">
        <x:f>IF(T38="","",T38*1000/$F38)</x:f>
      </x:c>
      <x:c r="V38" s="56"/>
      <x:c r="W38" s="56" t="str">
        <x:f>IF(V38="","",V38*1000/$F38)</x:f>
      </x:c>
      <x:c r="X38" s="56"/>
      <x:c r="Y38" s="56" t="str">
        <x:f>IF(X38="","",X38*1000/$F38)</x:f>
      </x:c>
      <x:c r="Z38" s="56"/>
      <x:c r="AA38" s="56" t="str">
        <x:f>IF(Z38="","",Z38*1000/$F38)</x:f>
      </x:c>
      <x:c r="AB38" s="56"/>
      <x:c r="AC38" s="56" t="str">
        <x:f>IF(AB38="","",AB38*1000/$F38)</x:f>
      </x:c>
      <x:c r="AD38" s="56" t="n">
        <x:v>0</x:v>
      </x:c>
      <x:c r="AE38" s="57" t="str">
        <x:v>Проверить 23met по ГОСТ 30245-2003</x:v>
      </x:c>
    </x:row>
    <x:row r="39">
      <x:c r="A39" s="54" t="str">
        <x:v>Профильные трубы</x:v>
      </x:c>
      <x:c r="B39" s="55" t="str">
        <x:v>Труба профильная</x:v>
      </x:c>
      <x:c r="C39" s="55" t="str">
        <x:v>Гн.100×100×4.5</x:v>
      </x:c>
      <x:c r="D39" s="55" t="str">
        <x:v>ГОСТ 30245-2003</x:v>
      </x:c>
      <x:c r="E39" s="55" t="str">
        <x:v>С255-4</x:v>
      </x:c>
      <x:c r="F39" s="56" t="n">
        <x:v>13.1</x:v>
      </x:c>
      <x:c r="G39" s="56" t="str">
        <x:v>кг/м</x:v>
      </x:c>
      <x:c r="H39" s="56"/>
      <x:c r="I39" s="56" t="str">
        <x:f>IF(H39="","",H39*1000/$F39)</x:f>
      </x:c>
      <x:c r="J39" s="56"/>
      <x:c r="K39" s="56" t="str">
        <x:f>IF(J39="","",J39*1000/$F39)</x:f>
      </x:c>
      <x:c r="L39" s="56"/>
      <x:c r="M39" s="56" t="str">
        <x:f>IF(L39="","",L39*1000/$F39)</x:f>
      </x:c>
      <x:c r="N39" s="56"/>
      <x:c r="O39" s="56" t="str">
        <x:f>IF(N39="","",N39*1000/$F39)</x:f>
      </x:c>
      <x:c r="P39" s="56"/>
      <x:c r="Q39" s="56" t="str">
        <x:f>IF(P39="","",P39*1000/$F39)</x:f>
      </x:c>
      <x:c r="R39" s="56" t="n">
        <x:v>13.13</x:v>
      </x:c>
      <x:c r="S39" s="56" t="n">
        <x:f>IF(R39="","",R39*1000/$F39)</x:f>
        <x:v>1002.2900763358779</x:v>
      </x:c>
      <x:c r="T39" s="56"/>
      <x:c r="U39" s="56" t="str">
        <x:f>IF(T39="","",T39*1000/$F39)</x:f>
      </x:c>
      <x:c r="V39" s="56"/>
      <x:c r="W39" s="56" t="str">
        <x:f>IF(V39="","",V39*1000/$F39)</x:f>
      </x:c>
      <x:c r="X39" s="56"/>
      <x:c r="Y39" s="56" t="str">
        <x:f>IF(X39="","",X39*1000/$F39)</x:f>
      </x:c>
      <x:c r="Z39" s="56"/>
      <x:c r="AA39" s="56" t="str">
        <x:f>IF(Z39="","",Z39*1000/$F39)</x:f>
      </x:c>
      <x:c r="AB39" s="56"/>
      <x:c r="AC39" s="56" t="str">
        <x:f>IF(AB39="","",AB39*1000/$F39)</x:f>
      </x:c>
      <x:c r="AD39" s="56" t="n">
        <x:v>13.13</x:v>
      </x:c>
      <x:c r="AE39" s="57" t="str">
        <x:v>Проверить 23met по ГОСТ 30245-2003</x:v>
      </x:c>
    </x:row>
    <x:row r="40">
      <x:c r="A40" s="54" t="str">
        <x:v>Профильные трубы</x:v>
      </x:c>
      <x:c r="B40" s="55" t="str">
        <x:v>Труба профильная</x:v>
      </x:c>
      <x:c r="C40" s="55" t="str">
        <x:v>Гн.100×100×5</x:v>
      </x:c>
      <x:c r="D40" s="55" t="str">
        <x:v>ГОСТ 30245-2003</x:v>
      </x:c>
      <x:c r="E40" s="55" t="str">
        <x:v>С255-4</x:v>
      </x:c>
      <x:c r="F40" s="56" t="n">
        <x:v>14.4</x:v>
      </x:c>
      <x:c r="G40" s="56" t="str">
        <x:v>кг/м</x:v>
      </x:c>
      <x:c r="H40" s="56"/>
      <x:c r="I40" s="56" t="str">
        <x:f>IF(H40="","",H40*1000/$F40)</x:f>
      </x:c>
      <x:c r="J40" s="56"/>
      <x:c r="K40" s="56" t="str">
        <x:f>IF(J40="","",J40*1000/$F40)</x:f>
      </x:c>
      <x:c r="L40" s="56" t="n">
        <x:v>20.32</x:v>
      </x:c>
      <x:c r="M40" s="56" t="n">
        <x:f>IF(L40="","",L40*1000/$F40)</x:f>
        <x:v>1411.111111111111</x:v>
      </x:c>
      <x:c r="N40" s="56"/>
      <x:c r="O40" s="56" t="str">
        <x:f>IF(N40="","",N40*1000/$F40)</x:f>
      </x:c>
      <x:c r="P40" s="56"/>
      <x:c r="Q40" s="56" t="str">
        <x:f>IF(P40="","",P40*1000/$F40)</x:f>
      </x:c>
      <x:c r="R40" s="56"/>
      <x:c r="S40" s="56" t="str">
        <x:f>IF(R40="","",R40*1000/$F40)</x:f>
      </x:c>
      <x:c r="T40" s="56"/>
      <x:c r="U40" s="56" t="str">
        <x:f>IF(T40="","",T40*1000/$F40)</x:f>
      </x:c>
      <x:c r="V40" s="56"/>
      <x:c r="W40" s="56" t="str">
        <x:f>IF(V40="","",V40*1000/$F40)</x:f>
      </x:c>
      <x:c r="X40" s="56"/>
      <x:c r="Y40" s="56" t="str">
        <x:f>IF(X40="","",X40*1000/$F40)</x:f>
      </x:c>
      <x:c r="Z40" s="56"/>
      <x:c r="AA40" s="56" t="str">
        <x:f>IF(Z40="","",Z40*1000/$F40)</x:f>
      </x:c>
      <x:c r="AB40" s="56"/>
      <x:c r="AC40" s="56" t="str">
        <x:f>IF(AB40="","",AB40*1000/$F40)</x:f>
      </x:c>
      <x:c r="AD40" s="56" t="n">
        <x:v>20.32</x:v>
      </x:c>
      <x:c r="AE40" s="57" t="str">
        <x:v>Проверить 23met по ГОСТ 30245-2003</x:v>
      </x:c>
    </x:row>
    <x:row r="41">
      <x:c r="A41" s="54" t="str">
        <x:v>Профильные трубы</x:v>
      </x:c>
      <x:c r="B41" s="55" t="str">
        <x:v>Труба профильная</x:v>
      </x:c>
      <x:c r="C41" s="55" t="str">
        <x:v>Гн.100×100×4</x:v>
      </x:c>
      <x:c r="D41" s="55" t="str">
        <x:v>ГОСТ 30245-2003</x:v>
      </x:c>
      <x:c r="E41" s="55" t="str">
        <x:v>С255-4</x:v>
      </x:c>
      <x:c r="F41" s="56" t="n">
        <x:v>11.73</x:v>
      </x:c>
      <x:c r="G41" s="56" t="str">
        <x:v>кг/м</x:v>
      </x:c>
      <x:c r="H41" s="56"/>
      <x:c r="I41" s="56" t="str">
        <x:f>IF(H41="","",H41*1000/$F41)</x:f>
      </x:c>
      <x:c r="J41" s="56"/>
      <x:c r="K41" s="56" t="str">
        <x:f>IF(J41="","",J41*1000/$F41)</x:f>
      </x:c>
      <x:c r="L41" s="56"/>
      <x:c r="M41" s="56" t="str">
        <x:f>IF(L41="","",L41*1000/$F41)</x:f>
      </x:c>
      <x:c r="N41" s="56"/>
      <x:c r="O41" s="56" t="str">
        <x:f>IF(N41="","",N41*1000/$F41)</x:f>
      </x:c>
      <x:c r="P41" s="56"/>
      <x:c r="Q41" s="56" t="str">
        <x:f>IF(P41="","",P41*1000/$F41)</x:f>
      </x:c>
      <x:c r="R41" s="56"/>
      <x:c r="S41" s="56" t="str">
        <x:f>IF(R41="","",R41*1000/$F41)</x:f>
      </x:c>
      <x:c r="T41" s="56"/>
      <x:c r="U41" s="56" t="str">
        <x:f>IF(T41="","",T41*1000/$F41)</x:f>
      </x:c>
      <x:c r="V41" s="56"/>
      <x:c r="W41" s="56" t="str">
        <x:f>IF(V41="","",V41*1000/$F41)</x:f>
      </x:c>
      <x:c r="X41" s="56"/>
      <x:c r="Y41" s="56" t="str">
        <x:f>IF(X41="","",X41*1000/$F41)</x:f>
      </x:c>
      <x:c r="Z41" s="56" t="n">
        <x:v>0.01</x:v>
      </x:c>
      <x:c r="AA41" s="56" t="n">
        <x:f>IF(Z41="","",Z41*1000/$F41)</x:f>
        <x:v>0.8525149190110827</x:v>
      </x:c>
      <x:c r="AB41" s="56"/>
      <x:c r="AC41" s="56" t="str">
        <x:f>IF(AB41="","",AB41*1000/$F41)</x:f>
      </x:c>
      <x:c r="AD41" s="56" t="n">
        <x:v>0.01</x:v>
      </x:c>
      <x:c r="AE41" s="57" t="str">
        <x:v>Проверить 23met по ГОСТ 30245-2003</x:v>
      </x:c>
    </x:row>
    <x:row r="42">
      <x:c r="A42" s="54" t="str">
        <x:v>Профильные трубы</x:v>
      </x:c>
      <x:c r="B42" s="55" t="str">
        <x:v>Труба профильная</x:v>
      </x:c>
      <x:c r="C42" s="55" t="str">
        <x:v>Гн.120×120×5</x:v>
      </x:c>
      <x:c r="D42" s="55" t="str">
        <x:v>ГОСТ 30245-2003</x:v>
      </x:c>
      <x:c r="E42" s="55" t="str">
        <x:v>С255-4</x:v>
      </x:c>
      <x:c r="F42" s="56" t="n">
        <x:v>17.39</x:v>
      </x:c>
      <x:c r="G42" s="56" t="str">
        <x:v>кг/м</x:v>
      </x:c>
      <x:c r="H42" s="56"/>
      <x:c r="I42" s="56" t="str">
        <x:f>IF(H42="","",H42*1000/$F42)</x:f>
      </x:c>
      <x:c r="J42" s="56"/>
      <x:c r="K42" s="56" t="str">
        <x:f>IF(J42="","",J42*1000/$F42)</x:f>
      </x:c>
      <x:c r="L42" s="56" t="n">
        <x:v>0.64</x:v>
      </x:c>
      <x:c r="M42" s="56" t="n">
        <x:f>IF(L42="","",L42*1000/$F42)</x:f>
        <x:v>36.802760207015524</x:v>
      </x:c>
      <x:c r="N42" s="56"/>
      <x:c r="O42" s="56" t="str">
        <x:f>IF(N42="","",N42*1000/$F42)</x:f>
      </x:c>
      <x:c r="P42" s="56"/>
      <x:c r="Q42" s="56" t="str">
        <x:f>IF(P42="","",P42*1000/$F42)</x:f>
      </x:c>
      <x:c r="R42" s="56" t="n">
        <x:v>0.53</x:v>
      </x:c>
      <x:c r="S42" s="56" t="n">
        <x:f>IF(R42="","",R42*1000/$F42)</x:f>
        <x:v>30.47728579643473</x:v>
      </x:c>
      <x:c r="T42" s="56"/>
      <x:c r="U42" s="56" t="str">
        <x:f>IF(T42="","",T42*1000/$F42)</x:f>
      </x:c>
      <x:c r="V42" s="56"/>
      <x:c r="W42" s="56" t="str">
        <x:f>IF(V42="","",V42*1000/$F42)</x:f>
      </x:c>
      <x:c r="X42" s="56"/>
      <x:c r="Y42" s="56" t="str">
        <x:f>IF(X42="","",X42*1000/$F42)</x:f>
      </x:c>
      <x:c r="Z42" s="56"/>
      <x:c r="AA42" s="56" t="str">
        <x:f>IF(Z42="","",Z42*1000/$F42)</x:f>
      </x:c>
      <x:c r="AB42" s="56"/>
      <x:c r="AC42" s="56" t="str">
        <x:f>IF(AB42="","",AB42*1000/$F42)</x:f>
      </x:c>
      <x:c r="AD42" s="56" t="n">
        <x:v>1.16</x:v>
      </x:c>
      <x:c r="AE42" s="57" t="str">
        <x:v>Проверить 23met по ГОСТ 30245-2003</x:v>
      </x:c>
    </x:row>
    <x:row r="43">
      <x:c r="A43" s="54" t="str">
        <x:v>Профильные трубы</x:v>
      </x:c>
      <x:c r="B43" s="55" t="str">
        <x:v>Труба профильная</x:v>
      </x:c>
      <x:c r="C43" s="55" t="str">
        <x:v>Гн.140×60×5</x:v>
      </x:c>
      <x:c r="D43" s="55" t="str">
        <x:v>ГОСТ 30245-2003</x:v>
      </x:c>
      <x:c r="E43" s="55" t="str">
        <x:v>С255-4</x:v>
      </x:c>
      <x:c r="F43" s="56" t="n">
        <x:v>14.4</x:v>
      </x:c>
      <x:c r="G43" s="56" t="str">
        <x:v>кг/м</x:v>
      </x:c>
      <x:c r="H43" s="56"/>
      <x:c r="I43" s="56" t="str">
        <x:f>IF(H43="","",H43*1000/$F43)</x:f>
      </x:c>
      <x:c r="J43" s="56"/>
      <x:c r="K43" s="56" t="str">
        <x:f>IF(J43="","",J43*1000/$F43)</x:f>
      </x:c>
      <x:c r="L43" s="56"/>
      <x:c r="M43" s="56" t="str">
        <x:f>IF(L43="","",L43*1000/$F43)</x:f>
      </x:c>
      <x:c r="N43" s="56"/>
      <x:c r="O43" s="56" t="str">
        <x:f>IF(N43="","",N43*1000/$F43)</x:f>
      </x:c>
      <x:c r="P43" s="56"/>
      <x:c r="Q43" s="56" t="str">
        <x:f>IF(P43="","",P43*1000/$F43)</x:f>
      </x:c>
      <x:c r="R43" s="56" t="n">
        <x:v>5.4</x:v>
      </x:c>
      <x:c r="S43" s="56" t="n">
        <x:f>IF(R43="","",R43*1000/$F43)</x:f>
        <x:v>375</x:v>
      </x:c>
      <x:c r="T43" s="56"/>
      <x:c r="U43" s="56" t="str">
        <x:f>IF(T43="","",T43*1000/$F43)</x:f>
      </x:c>
      <x:c r="V43" s="56"/>
      <x:c r="W43" s="56" t="str">
        <x:f>IF(V43="","",V43*1000/$F43)</x:f>
      </x:c>
      <x:c r="X43" s="56"/>
      <x:c r="Y43" s="56" t="str">
        <x:f>IF(X43="","",X43*1000/$F43)</x:f>
      </x:c>
      <x:c r="Z43" s="56"/>
      <x:c r="AA43" s="56" t="str">
        <x:f>IF(Z43="","",Z43*1000/$F43)</x:f>
      </x:c>
      <x:c r="AB43" s="56"/>
      <x:c r="AC43" s="56" t="str">
        <x:f>IF(AB43="","",AB43*1000/$F43)</x:f>
      </x:c>
      <x:c r="AD43" s="56" t="n">
        <x:v>5.4</x:v>
      </x:c>
      <x:c r="AE43" s="57" t="str">
        <x:v>Проверить 23met по ГОСТ 30245-2003</x:v>
      </x:c>
    </x:row>
    <x:row r="44">
      <x:c r="A44" s="54" t="str">
        <x:v>Профильные трубы</x:v>
      </x:c>
      <x:c r="B44" s="55" t="str">
        <x:v>Труба профильная</x:v>
      </x:c>
      <x:c r="C44" s="55" t="str">
        <x:v>Гн.140×140×5</x:v>
      </x:c>
      <x:c r="D44" s="55" t="str">
        <x:v>ГОСТ 30245-2003</x:v>
      </x:c>
      <x:c r="E44" s="55" t="str">
        <x:v>С255-4</x:v>
      </x:c>
      <x:c r="F44" s="56" t="n">
        <x:v>21.35</x:v>
      </x:c>
      <x:c r="G44" s="56" t="str">
        <x:v>кг/м</x:v>
      </x:c>
      <x:c r="H44" s="56"/>
      <x:c r="I44" s="56" t="str">
        <x:f>IF(H44="","",H44*1000/$F44)</x:f>
      </x:c>
      <x:c r="J44" s="56"/>
      <x:c r="K44" s="56" t="str">
        <x:f>IF(J44="","",J44*1000/$F44)</x:f>
      </x:c>
      <x:c r="L44" s="56" t="n">
        <x:v>1.17</x:v>
      </x:c>
      <x:c r="M44" s="56" t="n">
        <x:f>IF(L44="","",L44*1000/$F44)</x:f>
        <x:v>54.80093676814988</x:v>
      </x:c>
      <x:c r="N44" s="56"/>
      <x:c r="O44" s="56" t="str">
        <x:f>IF(N44="","",N44*1000/$F44)</x:f>
      </x:c>
      <x:c r="P44" s="56"/>
      <x:c r="Q44" s="56" t="str">
        <x:f>IF(P44="","",P44*1000/$F44)</x:f>
      </x:c>
      <x:c r="R44" s="56" t="n">
        <x:v>5.05</x:v>
      </x:c>
      <x:c r="S44" s="56" t="n">
        <x:f>IF(R44="","",R44*1000/$F44)</x:f>
        <x:v>236.53395784543324</x:v>
      </x:c>
      <x:c r="T44" s="56"/>
      <x:c r="U44" s="56" t="str">
        <x:f>IF(T44="","",T44*1000/$F44)</x:f>
      </x:c>
      <x:c r="V44" s="56"/>
      <x:c r="W44" s="56" t="str">
        <x:f>IF(V44="","",V44*1000/$F44)</x:f>
      </x:c>
      <x:c r="X44" s="56"/>
      <x:c r="Y44" s="56" t="str">
        <x:f>IF(X44="","",X44*1000/$F44)</x:f>
      </x:c>
      <x:c r="Z44" s="56"/>
      <x:c r="AA44" s="56" t="str">
        <x:f>IF(Z44="","",Z44*1000/$F44)</x:f>
      </x:c>
      <x:c r="AB44" s="56"/>
      <x:c r="AC44" s="56" t="str">
        <x:f>IF(AB44="","",AB44*1000/$F44)</x:f>
      </x:c>
      <x:c r="AD44" s="56" t="n">
        <x:v>6.22</x:v>
      </x:c>
      <x:c r="AE44" s="57" t="str">
        <x:v>Проверить 23met по ГОСТ 30245-2003</x:v>
      </x:c>
    </x:row>
    <x:row r="45">
      <x:c r="A45" s="54" t="str">
        <x:v>Профильные трубы</x:v>
      </x:c>
      <x:c r="B45" s="55" t="str">
        <x:v>Труба профильная</x:v>
      </x:c>
      <x:c r="C45" s="55" t="str">
        <x:v>Гн.100×100×4.5</x:v>
      </x:c>
      <x:c r="D45" s="55" t="str">
        <x:v>ГОСТ 30245-2003</x:v>
      </x:c>
      <x:c r="E45" s="55" t="str">
        <x:v>С355-5</x:v>
      </x:c>
      <x:c r="F45" s="56" t="n">
        <x:v>13.1</x:v>
      </x:c>
      <x:c r="G45" s="56" t="str">
        <x:v>кг/м</x:v>
      </x:c>
      <x:c r="H45" s="56"/>
      <x:c r="I45" s="56" t="str">
        <x:f>IF(H45="","",H45*1000/$F45)</x:f>
      </x:c>
      <x:c r="J45" s="56"/>
      <x:c r="K45" s="56" t="str">
        <x:f>IF(J45="","",J45*1000/$F45)</x:f>
      </x:c>
      <x:c r="L45" s="56"/>
      <x:c r="M45" s="56" t="str">
        <x:f>IF(L45="","",L45*1000/$F45)</x:f>
      </x:c>
      <x:c r="N45" s="56"/>
      <x:c r="O45" s="56" t="str">
        <x:f>IF(N45="","",N45*1000/$F45)</x:f>
      </x:c>
      <x:c r="P45" s="56" t="n">
        <x:v>4.76</x:v>
      </x:c>
      <x:c r="Q45" s="56" t="n">
        <x:f>IF(P45="","",P45*1000/$F45)</x:f>
        <x:v>363.3587786259542</x:v>
      </x:c>
      <x:c r="R45" s="56"/>
      <x:c r="S45" s="56" t="str">
        <x:f>IF(R45="","",R45*1000/$F45)</x:f>
      </x:c>
      <x:c r="T45" s="56"/>
      <x:c r="U45" s="56" t="str">
        <x:f>IF(T45="","",T45*1000/$F45)</x:f>
      </x:c>
      <x:c r="V45" s="56"/>
      <x:c r="W45" s="56" t="str">
        <x:f>IF(V45="","",V45*1000/$F45)</x:f>
      </x:c>
      <x:c r="X45" s="56"/>
      <x:c r="Y45" s="56" t="str">
        <x:f>IF(X45="","",X45*1000/$F45)</x:f>
      </x:c>
      <x:c r="Z45" s="56"/>
      <x:c r="AA45" s="56" t="str">
        <x:f>IF(Z45="","",Z45*1000/$F45)</x:f>
      </x:c>
      <x:c r="AB45" s="56"/>
      <x:c r="AC45" s="56" t="str">
        <x:f>IF(AB45="","",AB45*1000/$F45)</x:f>
      </x:c>
      <x:c r="AD45" s="56" t="n">
        <x:v>4.76</x:v>
      </x:c>
      <x:c r="AE45" s="57" t="str">
        <x:v>Проверить 23met по ГОСТ 30245-2003</x:v>
      </x:c>
    </x:row>
    <x:row r="46">
      <x:c r="A46" s="54" t="str">
        <x:v>Профильные трубы</x:v>
      </x:c>
      <x:c r="B46" s="55" t="str">
        <x:v>Труба профильная</x:v>
      </x:c>
      <x:c r="C46" s="55" t="str">
        <x:v>Гн.120×120×5</x:v>
      </x:c>
      <x:c r="D46" s="55" t="str">
        <x:v>ГОСТ 30245-2003</x:v>
      </x:c>
      <x:c r="E46" s="55" t="str">
        <x:v>С355-5</x:v>
      </x:c>
      <x:c r="F46" s="56" t="n">
        <x:v>17.39</x:v>
      </x:c>
      <x:c r="G46" s="56" t="str">
        <x:v>кг/м</x:v>
      </x:c>
      <x:c r="H46" s="56"/>
      <x:c r="I46" s="56" t="str">
        <x:f>IF(H46="","",H46*1000/$F46)</x:f>
      </x:c>
      <x:c r="J46" s="56"/>
      <x:c r="K46" s="56" t="str">
        <x:f>IF(J46="","",J46*1000/$F46)</x:f>
      </x:c>
      <x:c r="L46" s="56"/>
      <x:c r="M46" s="56" t="str">
        <x:f>IF(L46="","",L46*1000/$F46)</x:f>
      </x:c>
      <x:c r="N46" s="56"/>
      <x:c r="O46" s="56" t="str">
        <x:f>IF(N46="","",N46*1000/$F46)</x:f>
      </x:c>
      <x:c r="P46" s="56" t="n">
        <x:v>6.37</x:v>
      </x:c>
      <x:c r="Q46" s="56" t="n">
        <x:f>IF(P46="","",P46*1000/$F46)</x:f>
        <x:v>366.3024726854514</x:v>
      </x:c>
      <x:c r="R46" s="56"/>
      <x:c r="S46" s="56" t="str">
        <x:f>IF(R46="","",R46*1000/$F46)</x:f>
      </x:c>
      <x:c r="T46" s="56"/>
      <x:c r="U46" s="56" t="str">
        <x:f>IF(T46="","",T46*1000/$F46)</x:f>
      </x:c>
      <x:c r="V46" s="56"/>
      <x:c r="W46" s="56" t="str">
        <x:f>IF(V46="","",V46*1000/$F46)</x:f>
      </x:c>
      <x:c r="X46" s="56"/>
      <x:c r="Y46" s="56" t="str">
        <x:f>IF(X46="","",X46*1000/$F46)</x:f>
      </x:c>
      <x:c r="Z46" s="56"/>
      <x:c r="AA46" s="56" t="str">
        <x:f>IF(Z46="","",Z46*1000/$F46)</x:f>
      </x:c>
      <x:c r="AB46" s="56"/>
      <x:c r="AC46" s="56" t="str">
        <x:f>IF(AB46="","",AB46*1000/$F46)</x:f>
      </x:c>
      <x:c r="AD46" s="56" t="n">
        <x:v>6.37</x:v>
      </x:c>
      <x:c r="AE46" s="57" t="str">
        <x:v>Проверить 23met по ГОСТ 30245-2003</x:v>
      </x:c>
    </x:row>
    <x:row r="47">
      <x:c r="A47" s="54" t="str">
        <x:v>Профильные трубы</x:v>
      </x:c>
      <x:c r="B47" s="55" t="str">
        <x:v>Труба профильная</x:v>
      </x:c>
      <x:c r="C47" s="55" t="str">
        <x:v>Гн.140×140×5</x:v>
      </x:c>
      <x:c r="D47" s="55" t="str">
        <x:v>ГОСТ 30245-2003</x:v>
      </x:c>
      <x:c r="E47" s="55" t="str">
        <x:v>С355-5</x:v>
      </x:c>
      <x:c r="F47" s="56" t="n">
        <x:v>21.35</x:v>
      </x:c>
      <x:c r="G47" s="56" t="str">
        <x:v>кг/м</x:v>
      </x:c>
      <x:c r="H47" s="56"/>
      <x:c r="I47" s="56" t="str">
        <x:f>IF(H47="","",H47*1000/$F47)</x:f>
      </x:c>
      <x:c r="J47" s="56"/>
      <x:c r="K47" s="56" t="str">
        <x:f>IF(J47="","",J47*1000/$F47)</x:f>
      </x:c>
      <x:c r="L47" s="56" t="n">
        <x:v>0.46</x:v>
      </x:c>
      <x:c r="M47" s="56" t="n">
        <x:f>IF(L47="","",L47*1000/$F47)</x:f>
        <x:v>21.54566744730679</x:v>
      </x:c>
      <x:c r="N47" s="56"/>
      <x:c r="O47" s="56" t="str">
        <x:f>IF(N47="","",N47*1000/$F47)</x:f>
      </x:c>
      <x:c r="P47" s="56" t="n">
        <x:v>3.73</x:v>
      </x:c>
      <x:c r="Q47" s="56" t="n">
        <x:f>IF(P47="","",P47*1000/$F47)</x:f>
        <x:v>174.70725995316158</x:v>
      </x:c>
      <x:c r="R47" s="56"/>
      <x:c r="S47" s="56" t="str">
        <x:f>IF(R47="","",R47*1000/$F47)</x:f>
      </x:c>
      <x:c r="T47" s="56"/>
      <x:c r="U47" s="56" t="str">
        <x:f>IF(T47="","",T47*1000/$F47)</x:f>
      </x:c>
      <x:c r="V47" s="56"/>
      <x:c r="W47" s="56" t="str">
        <x:f>IF(V47="","",V47*1000/$F47)</x:f>
      </x:c>
      <x:c r="X47" s="56"/>
      <x:c r="Y47" s="56" t="str">
        <x:f>IF(X47="","",X47*1000/$F47)</x:f>
      </x:c>
      <x:c r="Z47" s="56"/>
      <x:c r="AA47" s="56" t="str">
        <x:f>IF(Z47="","",Z47*1000/$F47)</x:f>
      </x:c>
      <x:c r="AB47" s="56"/>
      <x:c r="AC47" s="56" t="str">
        <x:f>IF(AB47="","",AB47*1000/$F47)</x:f>
      </x:c>
      <x:c r="AD47" s="56" t="n">
        <x:v>4.19</x:v>
      </x:c>
      <x:c r="AE47" s="57" t="str">
        <x:v>Проверить 23met по ГОСТ 30245-2003</x:v>
      </x:c>
    </x:row>
    <x:row r="48">
      <x:c r="A48" s="54" t="str">
        <x:v>Профильные трубы</x:v>
      </x:c>
      <x:c r="B48" s="55" t="str">
        <x:v>Труба профильная</x:v>
      </x:c>
      <x:c r="C48" s="55" t="str">
        <x:v>Гн.160×160×6</x:v>
      </x:c>
      <x:c r="D48" s="55" t="str">
        <x:v>ГОСТ 30245-2003</x:v>
      </x:c>
      <x:c r="E48" s="55" t="str">
        <x:v>С355-5</x:v>
      </x:c>
      <x:c r="F48" s="56" t="n">
        <x:v>29.13</x:v>
      </x:c>
      <x:c r="G48" s="56" t="str">
        <x:v>кг/м</x:v>
      </x:c>
      <x:c r="H48" s="56"/>
      <x:c r="I48" s="56" t="str">
        <x:f>IF(H48="","",H48*1000/$F48)</x:f>
      </x:c>
      <x:c r="J48" s="56"/>
      <x:c r="K48" s="56" t="str">
        <x:f>IF(J48="","",J48*1000/$F48)</x:f>
      </x:c>
      <x:c r="L48" s="56"/>
      <x:c r="M48" s="56" t="str">
        <x:f>IF(L48="","",L48*1000/$F48)</x:f>
      </x:c>
      <x:c r="N48" s="56"/>
      <x:c r="O48" s="56" t="str">
        <x:f>IF(N48="","",N48*1000/$F48)</x:f>
      </x:c>
      <x:c r="P48" s="56" t="n">
        <x:v>24.44</x:v>
      </x:c>
      <x:c r="Q48" s="56" t="n">
        <x:f>IF(P48="","",P48*1000/$F48)</x:f>
        <x:v>838.9975969790594</x:v>
      </x:c>
      <x:c r="R48" s="56"/>
      <x:c r="S48" s="56" t="str">
        <x:f>IF(R48="","",R48*1000/$F48)</x:f>
      </x:c>
      <x:c r="T48" s="56"/>
      <x:c r="U48" s="56" t="str">
        <x:f>IF(T48="","",T48*1000/$F48)</x:f>
      </x:c>
      <x:c r="V48" s="56"/>
      <x:c r="W48" s="56" t="str">
        <x:f>IF(V48="","",V48*1000/$F48)</x:f>
      </x:c>
      <x:c r="X48" s="56"/>
      <x:c r="Y48" s="56" t="str">
        <x:f>IF(X48="","",X48*1000/$F48)</x:f>
      </x:c>
      <x:c r="Z48" s="56"/>
      <x:c r="AA48" s="56" t="str">
        <x:f>IF(Z48="","",Z48*1000/$F48)</x:f>
      </x:c>
      <x:c r="AB48" s="56"/>
      <x:c r="AC48" s="56" t="str">
        <x:f>IF(AB48="","",AB48*1000/$F48)</x:f>
      </x:c>
      <x:c r="AD48" s="56" t="n">
        <x:v>24.44</x:v>
      </x:c>
      <x:c r="AE48" s="57" t="str">
        <x:v>Проверить 23met по ГОСТ 30245-2003</x:v>
      </x:c>
    </x:row>
    <x:row r="49">
      <x:c r="A49" s="38" t="str">
        <x:v>Прокат сортовой</x:v>
      </x:c>
      <x:c r="B49" s="39" t="str">
        <x:v>Круг</x:v>
      </x:c>
      <x:c r="C49" s="39" t="str">
        <x:v>Ø20</x:v>
      </x:c>
      <x:c r="D49" s="39" t="str">
        <x:v>ГОСТ 2590-2006</x:v>
      </x:c>
      <x:c r="E49" s="39" t="str">
        <x:v>С255-4</x:v>
      </x:c>
      <x:c r="F49" s="40" t="n">
        <x:v>2.47</x:v>
      </x:c>
      <x:c r="G49" s="40" t="str">
        <x:v>кг/м</x:v>
      </x:c>
      <x:c r="H49" s="40"/>
      <x:c r="I49" s="40" t="str">
        <x:f>IF(H49="","",H49*1000/$F49)</x:f>
      </x:c>
      <x:c r="J49" s="40"/>
      <x:c r="K49" s="40" t="str">
        <x:f>IF(J49="","",J49*1000/$F49)</x:f>
      </x:c>
      <x:c r="L49" s="40"/>
      <x:c r="M49" s="40" t="str">
        <x:f>IF(L49="","",L49*1000/$F49)</x:f>
      </x:c>
      <x:c r="N49" s="40"/>
      <x:c r="O49" s="40" t="str">
        <x:f>IF(N49="","",N49*1000/$F49)</x:f>
      </x:c>
      <x:c r="P49" s="40"/>
      <x:c r="Q49" s="40" t="str">
        <x:f>IF(P49="","",P49*1000/$F49)</x:f>
      </x:c>
      <x:c r="R49" s="40"/>
      <x:c r="S49" s="40" t="str">
        <x:f>IF(R49="","",R49*1000/$F49)</x:f>
      </x:c>
      <x:c r="T49" s="40"/>
      <x:c r="U49" s="40" t="str">
        <x:f>IF(T49="","",T49*1000/$F49)</x:f>
      </x:c>
      <x:c r="V49" s="40"/>
      <x:c r="W49" s="40" t="str">
        <x:f>IF(V49="","",V49*1000/$F49)</x:f>
      </x:c>
      <x:c r="X49" s="40"/>
      <x:c r="Y49" s="40" t="str">
        <x:f>IF(X49="","",X49*1000/$F49)</x:f>
      </x:c>
      <x:c r="Z49" s="40" t="n">
        <x:v>0.14</x:v>
      </x:c>
      <x:c r="AA49" s="40" t="n">
        <x:f>IF(Z49="","",Z49*1000/$F49)</x:f>
        <x:v>56.68016194331983</x:v>
      </x:c>
      <x:c r="AB49" s="40"/>
      <x:c r="AC49" s="40" t="str">
        <x:f>IF(AB49="","",AB49*1000/$F49)</x:f>
      </x:c>
      <x:c r="AD49" s="40" t="n">
        <x:v>0.14</x:v>
      </x:c>
      <x:c r="AE49" s="41" t="str">
        <x:v>OK</x:v>
      </x:c>
    </x:row>
    <x:row r="50">
      <x:c r="A50" s="54" t="str">
        <x:v>Рельсы крановые</x:v>
      </x:c>
      <x:c r="B50" s="55" t="str">
        <x:v>Рельс</x:v>
      </x:c>
      <x:c r="C50" s="55" t="str">
        <x:v>КР70</x:v>
      </x:c>
      <x:c r="D50" s="55" t="str">
        <x:v>ГОСТ Р 53866-2010</x:v>
      </x:c>
      <x:c r="E50" s="55" t="str">
        <x:v>С355-5</x:v>
      </x:c>
      <x:c r="F50" s="56" t="n">
        <x:v>52.8</x:v>
      </x:c>
      <x:c r="G50" s="56" t="str">
        <x:v>кг/м</x:v>
      </x:c>
      <x:c r="H50" s="56"/>
      <x:c r="I50" s="56" t="str">
        <x:f>IF(H50="","",H50*1000/$F50)</x:f>
      </x:c>
      <x:c r="J50" s="56"/>
      <x:c r="K50" s="56" t="str">
        <x:f>IF(J50="","",J50*1000/$F50)</x:f>
      </x:c>
      <x:c r="L50" s="56"/>
      <x:c r="M50" s="56" t="str">
        <x:f>IF(L50="","",L50*1000/$F50)</x:f>
      </x:c>
      <x:c r="N50" s="56"/>
      <x:c r="O50" s="56" t="str">
        <x:f>IF(N50="","",N50*1000/$F50)</x:f>
      </x:c>
      <x:c r="P50" s="56"/>
      <x:c r="Q50" s="56" t="str">
        <x:f>IF(P50="","",P50*1000/$F50)</x:f>
      </x:c>
      <x:c r="R50" s="56"/>
      <x:c r="S50" s="56" t="str">
        <x:f>IF(R50="","",R50*1000/$F50)</x:f>
      </x:c>
      <x:c r="T50" s="56"/>
      <x:c r="U50" s="56" t="str">
        <x:f>IF(T50="","",T50*1000/$F50)</x:f>
      </x:c>
      <x:c r="V50" s="56" t="n">
        <x:v>8.41</x:v>
      </x:c>
      <x:c r="W50" s="56" t="n">
        <x:f>IF(V50="","",V50*1000/$F50)</x:f>
        <x:v>159.28030303030303</x:v>
      </x:c>
      <x:c r="X50" s="56"/>
      <x:c r="Y50" s="56" t="str">
        <x:f>IF(X50="","",X50*1000/$F50)</x:f>
      </x:c>
      <x:c r="Z50" s="56"/>
      <x:c r="AA50" s="56" t="str">
        <x:f>IF(Z50="","",Z50*1000/$F50)</x:f>
      </x:c>
      <x:c r="AB50" s="56"/>
      <x:c r="AC50" s="56" t="str">
        <x:f>IF(AB50="","",AB50*1000/$F50)</x:f>
      </x:c>
      <x:c r="AD50" s="56" t="n">
        <x:v>8.41</x:v>
      </x:c>
      <x:c r="AE50" s="57" t="str">
        <x:v>Проверить удельную массу рельса КР70</x:v>
      </x:c>
    </x:row>
    <x:row r="51">
      <x:c r="A51" s="54" t="str">
        <x:v>Профилированный лист</x:v>
      </x:c>
      <x:c r="B51" s="55" t="str">
        <x:v>Профлист</x:v>
      </x:c>
      <x:c r="C51" s="55" t="str">
        <x:v>Н57-750-0.7</x:v>
      </x:c>
      <x:c r="D51" s="55" t="str">
        <x:v>ГОСТ 24045-2016</x:v>
      </x:c>
      <x:c r="E51" s="55" t="str">
        <x:v>С245</x:v>
      </x:c>
      <x:c r="F51" s="56" t="n">
        <x:v>7.4</x:v>
      </x:c>
      <x:c r="G51" s="56" t="str">
        <x:v>кг/м²</x:v>
      </x:c>
      <x:c r="H51" s="56"/>
      <x:c r="I51" s="56" t="str">
        <x:f>IF(H51="","",H51*1000/$F51)</x:f>
      </x:c>
      <x:c r="J51" s="56"/>
      <x:c r="K51" s="56" t="str">
        <x:f>IF(J51="","",J51*1000/$F51)</x:f>
      </x:c>
      <x:c r="L51" s="56"/>
      <x:c r="M51" s="56" t="str">
        <x:f>IF(L51="","",L51*1000/$F51)</x:f>
      </x:c>
      <x:c r="N51" s="56"/>
      <x:c r="O51" s="56" t="str">
        <x:f>IF(N51="","",N51*1000/$F51)</x:f>
      </x:c>
      <x:c r="P51" s="56"/>
      <x:c r="Q51" s="56" t="str">
        <x:f>IF(P51="","",P51*1000/$F51)</x:f>
      </x:c>
      <x:c r="R51" s="56"/>
      <x:c r="S51" s="56" t="str">
        <x:f>IF(R51="","",R51*1000/$F51)</x:f>
      </x:c>
      <x:c r="T51" s="56"/>
      <x:c r="U51" s="56" t="str">
        <x:f>IF(T51="","",T51*1000/$F51)</x:f>
      </x:c>
      <x:c r="V51" s="56"/>
      <x:c r="W51" s="56" t="str">
        <x:f>IF(V51="","",V51*1000/$F51)</x:f>
      </x:c>
      <x:c r="X51" s="56" t="n">
        <x:v>0.81</x:v>
      </x:c>
      <x:c r="Y51" s="56" t="n">
        <x:f>IF(X51="","",X51*1000/$F51)</x:f>
        <x:v>109.45945945945945</x:v>
      </x:c>
      <x:c r="Z51" s="56"/>
      <x:c r="AA51" s="56" t="str">
        <x:f>IF(Z51="","",Z51*1000/$F51)</x:f>
      </x:c>
      <x:c r="AB51" s="56"/>
      <x:c r="AC51" s="56" t="str">
        <x:f>IF(AB51="","",AB51*1000/$F51)</x:f>
      </x:c>
      <x:c r="AD51" s="56" t="n">
        <x:v>0.81</x:v>
      </x:c>
      <x:c r="AE51" s="57" t="str">
        <x:v>Проверить удельную массу профлиста</x:v>
      </x:c>
    </x:row>
    <x:row r="52">
      <x:c r="A52" s="62" t="str">
        <x:v>Профилированный лист</x:v>
      </x:c>
      <x:c r="B52" s="63" t="str">
        <x:v>Профлист</x:v>
      </x:c>
      <x:c r="C52" s="63" t="str">
        <x:v>H114-750-0.9</x:v>
      </x:c>
      <x:c r="D52" s="63" t="str">
        <x:v>ГОСТ 24045-2016</x:v>
      </x:c>
      <x:c r="E52" s="63" t="str">
        <x:v>С245</x:v>
      </x:c>
      <x:c r="F52" s="64" t="n">
        <x:v>13.181651376146789</x:v>
      </x:c>
      <x:c r="G52" s="64" t="str">
        <x:v>кг/м²</x:v>
      </x:c>
      <x:c r="H52" s="64"/>
      <x:c r="I52" s="64" t="str">
        <x:f>IF(H52="","",H52*1000/$F52)</x:f>
      </x:c>
      <x:c r="J52" s="64"/>
      <x:c r="K52" s="64" t="str">
        <x:f>IF(J52="","",J52*1000/$F52)</x:f>
      </x:c>
      <x:c r="L52" s="64"/>
      <x:c r="M52" s="64" t="str">
        <x:f>IF(L52="","",L52*1000/$F52)</x:f>
      </x:c>
      <x:c r="N52" s="64"/>
      <x:c r="O52" s="64" t="str">
        <x:f>IF(N52="","",N52*1000/$F52)</x:f>
      </x:c>
      <x:c r="P52" s="64"/>
      <x:c r="Q52" s="64" t="str">
        <x:f>IF(P52="","",P52*1000/$F52)</x:f>
      </x:c>
      <x:c r="R52" s="64"/>
      <x:c r="S52" s="64" t="str">
        <x:f>IF(R52="","",R52*1000/$F52)</x:f>
      </x:c>
      <x:c r="T52" s="64"/>
      <x:c r="U52" s="64" t="str">
        <x:f>IF(T52="","",T52*1000/$F52)</x:f>
      </x:c>
      <x:c r="V52" s="64"/>
      <x:c r="W52" s="64" t="str">
        <x:f>IF(V52="","",V52*1000/$F52)</x:f>
      </x:c>
      <x:c r="X52" s="64" t="n">
        <x:v>35.92</x:v>
      </x:c>
      <x:c r="Y52" s="64" t="n">
        <x:f>IF(X52="","",X52*1000/$F52)</x:f>
        <x:v>2725</x:v>
      </x:c>
      <x:c r="Z52" s="64"/>
      <x:c r="AA52" s="64" t="str">
        <x:f>IF(Z52="","",Z52*1000/$F52)</x:f>
      </x:c>
      <x:c r="AB52" s="64"/>
      <x:c r="AC52" s="64" t="str">
        <x:f>IF(AB52="","",AB52*1000/$F52)</x:f>
      </x:c>
      <x:c r="AD52" s="64" t="n">
        <x:v>35.92</x:v>
      </x:c>
      <x:c r="AE52" s="65" t="str">
        <x:v>Удельная масса рассчитана по указанной площади 2725 м²</x:v>
      </x:c>
    </x:row>
  </x:sheetData>
  <x:pageMargins left="0.7" right="0.7" top="0.75" bottom="0.75" header="0.3" footer="0.3"/>
  <x:tableParts count="1">
    <x:tablePart xmlns:r="http://schemas.openxmlformats.org/officeDocument/2006/relationships" r:id="Rb4ded10cc3ab4b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2" t="str">
        <x:v>Категория</x:v>
      </x:c>
      <x:c r="B1" s="13" t="str">
        <x:v>Колонны</x:v>
      </x:c>
      <x:c r="C1" s="13" t="str">
        <x:v>Балки</x:v>
      </x:c>
      <x:c r="D1" s="13" t="str">
        <x:v>Связи вертикальные</x:v>
      </x:c>
      <x:c r="E1" s="13" t="str">
        <x:v>Связи горизонтальные</x:v>
      </x:c>
      <x:c r="F1" s="13" t="str">
        <x:v>Фермы</x:v>
      </x:c>
      <x:c r="G1" s="13" t="str">
        <x:v>Фахверк</x:v>
      </x:c>
      <x:c r="H1" s="13" t="str">
        <x:v>Прогоны</x:v>
      </x:c>
      <x:c r="I1" s="13" t="str">
        <x:v>Крановые конструкции</x:v>
      </x:c>
      <x:c r="J1" s="13" t="str">
        <x:v>Настил</x:v>
      </x:c>
      <x:c r="K1" s="13" t="str">
        <x:v>Лестницы</x:v>
      </x:c>
      <x:c r="L1" s="13" t="str">
        <x:v>Ограждения</x:v>
      </x:c>
      <x:c r="M1" s="14" t="str">
        <x:v>Итого</x:v>
      </x:c>
    </x:row>
    <x:row r="2">
      <x:c r="A2" s="15" t="str">
        <x:v>Профили, м</x:v>
      </x:c>
      <x:c r="B2" s="30" t="n">
        <x:v>68.18</x:v>
      </x:c>
      <x:c r="C2" s="30" t="n">
        <x:v>239.8</x:v>
      </x:c>
      <x:c r="D2" s="30" t="n">
        <x:v>1651.98</x:v>
      </x:c>
      <x:c r="E2" s="30" t="n">
        <x:v>33.38</x:v>
      </x:c>
      <x:c r="F2" s="30" t="n">
        <x:v>1743.37</x:v>
      </x:c>
      <x:c r="G2" s="30" t="n">
        <x:v>1664.96</x:v>
      </x:c>
      <x:c r="H2" s="30" t="n">
        <x:v>222.52</x:v>
      </x:c>
      <x:c r="I2" s="30" t="n">
        <x:v>193.85</x:v>
      </x:c>
      <x:c r="J2" s="30"/>
      <x:c r="K2" s="30" t="n">
        <x:v>142.48</x:v>
      </x:c>
      <x:c r="L2" s="30" t="n">
        <x:v>38.11</x:v>
      </x:c>
      <x:c r="M2" s="31" t="n">
        <x:v>5998.61</x:v>
      </x:c>
    </x:row>
    <x:row r="3">
      <x:c r="A3" s="15" t="str">
        <x:v>Листы и профнастил, м²</x:v>
      </x:c>
      <x:c r="B3" s="30" t="n">
        <x:v>18.37</x:v>
      </x:c>
      <x:c r="C3" s="30" t="n">
        <x:v>4.41</x:v>
      </x:c>
      <x:c r="D3" s="30" t="n">
        <x:v>63.92</x:v>
      </x:c>
      <x:c r="E3" s="30"/>
      <x:c r="F3" s="30" t="n">
        <x:v>35.79</x:v>
      </x:c>
      <x:c r="G3" s="30" t="n">
        <x:v>30.71</x:v>
      </x:c>
      <x:c r="H3" s="30" t="n">
        <x:v>1.49</x:v>
      </x:c>
      <x:c r="I3" s="30" t="n">
        <x:v>236.49</x:v>
      </x:c>
      <x:c r="J3" s="30" t="n">
        <x:v>2834.46</x:v>
      </x:c>
      <x:c r="K3" s="30" t="n">
        <x:v>13.67</x:v>
      </x:c>
      <x:c r="L3" s="30" t="n">
        <x:v>1.59</x:v>
      </x:c>
      <x:c r="M3" s="31" t="n">
        <x:v>3240.88</x:v>
      </x:c>
    </x:row>
    <x:row r="4">
      <x:c r="A4" s="15" t="str">
        <x:v>Масса по прочитанным строкам, т</x:v>
      </x:c>
      <x:c r="B4" s="30" t="n">
        <x:v>5.86</x:v>
      </x:c>
      <x:c r="C4" s="30" t="n">
        <x:v>10.98</x:v>
      </x:c>
      <x:c r="D4" s="30" t="n">
        <x:v>29.54</x:v>
      </x:c>
      <x:c r="E4" s="30" t="n">
        <x:v>0.23</x:v>
      </x:c>
      <x:c r="F4" s="30" t="n">
        <x:v>43.22</x:v>
      </x:c>
      <x:c r="G4" s="30" t="n">
        <x:v>26.25</x:v>
      </x:c>
      <x:c r="H4" s="30" t="n">
        <x:v>4.57</x:v>
      </x:c>
      <x:c r="I4" s="30" t="n">
        <x:v>28.22</x:v>
      </x:c>
      <x:c r="J4" s="30" t="n">
        <x:v>36.73</x:v>
      </x:c>
      <x:c r="K4" s="30" t="n">
        <x:v>2.64</x:v>
      </x:c>
      <x:c r="L4" s="30" t="n">
        <x:v>0.17</x:v>
      </x:c>
      <x:c r="M4" s="31" t="n">
        <x:v>188.41</x:v>
      </x:c>
    </x:row>
    <x:row r="5">
      <x:c r="A5" s="18" t="str">
        <x:v>Итог из спецификации, т</x:v>
      </x:c>
      <x:c r="B5" s="32" t="n">
        <x:v>5.86</x:v>
      </x:c>
      <x:c r="C5" s="32" t="n">
        <x:v>10.96</x:v>
      </x:c>
      <x:c r="D5" s="32" t="n">
        <x:v>29.52</x:v>
      </x:c>
      <x:c r="E5" s="32" t="n">
        <x:v>0.23</x:v>
      </x:c>
      <x:c r="F5" s="32" t="n">
        <x:v>43.23</x:v>
      </x:c>
      <x:c r="G5" s="32" t="n">
        <x:v>26.26</x:v>
      </x:c>
      <x:c r="H5" s="32" t="n">
        <x:v>4.57</x:v>
      </x:c>
      <x:c r="I5" s="32" t="n">
        <x:v>28.22</x:v>
      </x:c>
      <x:c r="J5" s="32" t="n">
        <x:v>36.72</x:v>
      </x:c>
      <x:c r="K5" s="32" t="n">
        <x:v>2.65</x:v>
      </x:c>
      <x:c r="L5" s="32" t="n">
        <x:v>0.17</x:v>
      </x:c>
      <x:c r="M5" s="33" t="n">
        <x:v>188.38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2" t="str">
        <x:v>Параметр</x:v>
      </x:c>
      <x:c r="B1" s="14" t="str">
        <x:v>Значение</x:v>
      </x:c>
    </x:row>
    <x:row r="2">
      <x:c r="A2" s="15" t="str">
        <x:v>Исходный PDF</x:v>
      </x:c>
      <x:c r="B2" s="17" t="str">
        <x:v>PIR3017-26-KM1_v6-20.pdf</x:v>
      </x:c>
    </x:row>
    <x:row r="3">
      <x:c r="A3" s="15" t="str">
        <x:v>Лист проекта</x:v>
      </x:c>
      <x:c r="B3" s="17" t="str">
        <x:v>Лист 18: Спецификация металлопроката</x:v>
      </x:c>
    </x:row>
    <x:row r="4">
      <x:c r="A4" s="15" t="str">
        <x:v>Методика</x:v>
      </x:c>
      <x:c r="B4" s="17" t="str">
        <x:v>Названия конструктивных групп сохранены из спецификации. Длины и площади рассчитаны по массе в соответствующем столбце.</x:v>
      </x:c>
    </x:row>
    <x:row r="5">
      <x:c r="A5" s="15" t="str">
        <x:v>Формула профилей</x:v>
      </x:c>
      <x:c r="B5" s="17" t="str">
        <x:v>Длина, м = Масса, т × 1000 / Удельная масса, кг/м</x:v>
      </x:c>
    </x:row>
    <x:row r="6">
      <x:c r="A6" s="15" t="str">
        <x:v>Формула листов</x:v>
      </x:c>
      <x:c r="B6" s="17" t="str">
        <x:v>Площадь, м² = Масса, т × 1000 / Удельная масса, кг/м²</x:v>
      </x:c>
    </x:row>
    <x:row r="7">
      <x:c r="A7" s="15" t="str">
        <x:v>Жёлтая заливка</x:v>
      </x:c>
      <x:c r="B7" s="17" t="str">
        <x:v>Позиции, где удельная масса требует сверки по 23met и точному ГОСТ.</x:v>
      </x:c>
    </x:row>
    <x:row r="8">
      <x:c r="A8" s="15" t="str">
        <x:v>Контрольная масса</x:v>
      </x:c>
      <x:c r="B8" s="17" t="str">
        <x:v>188,38 т</x:v>
      </x:c>
    </x:row>
    <x:row r="9">
      <x:c r="A9" s="15" t="str">
        <x:v>Профлист H114-750-0.9</x:v>
      </x:c>
      <x:c r="B9" s="17" t="str">
        <x:v>Удельная масса рассчитана из массы 35,92 т и указанной в проекте площади 2725 м².</x:v>
      </x:c>
    </x:row>
    <x:row r="10">
      <x:c r="A10" s="18" t="str">
        <x:v>Примечание проекта</x:v>
      </x:c>
      <x:c r="B10" s="20" t="str">
        <x:v>Масса дана без учета наплавки 1% и раскроя 3%.</x:v>
      </x:c>
    </x:row>
  </x:sheetData>
  <x:pageMargins left="0.7" right="0.7" top="0.75" bottom="0.75" header="0.3" footer="0.3"/>
</x:worksheet>
</file>