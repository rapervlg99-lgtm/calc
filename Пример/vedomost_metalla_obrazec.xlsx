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Источники_и_заметки" sheetId="3" state="visible" r:id="rId3"/>
  </sheets>
  <definedNames>
    <definedName name="_xlnm._FilterDatabase" localSheetId="0" hidden="1">'Ведомость'!$A$1:$R$19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</font>
    <font>
      <color rgb="00008000"/>
    </font>
    <font>
      <color rgb="00000000"/>
    </font>
    <font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2" fontId="2" fillId="3" borderId="1" applyAlignment="1" pivotButton="0" quotePrefix="0" xfId="0">
      <alignment vertical="center" wrapText="1"/>
    </xf>
    <xf numFmtId="2" fontId="3" fillId="3" borderId="1" applyAlignment="1" pivotButton="0" quotePrefix="0" xfId="0">
      <alignment vertical="center" wrapText="1"/>
    </xf>
    <xf numFmtId="0" fontId="4" fillId="3" borderId="0" pivotButton="0" quotePrefix="0" xfId="0"/>
    <xf numFmtId="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2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22" customWidth="1" min="4" max="4"/>
    <col width="12" customWidth="1" min="5" max="5"/>
    <col width="12" customWidth="1" min="6" max="6"/>
    <col width="10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44" customWidth="1" min="17" max="17"/>
  </cols>
  <sheetData>
    <row r="1">
      <c r="A1" s="1" t="inlineStr">
        <is>
          <t>Группа</t>
        </is>
      </c>
      <c r="B1" s="1" t="inlineStr">
        <is>
          <t>Тип</t>
        </is>
      </c>
      <c r="C1" s="1" t="inlineStr">
        <is>
          <t>Профиль</t>
        </is>
      </c>
      <c r="D1" s="1" t="inlineStr">
        <is>
          <t>ГОСТ</t>
        </is>
      </c>
      <c r="E1" s="1" t="inlineStr">
        <is>
          <t>Марка стали</t>
        </is>
      </c>
      <c r="F1" s="1" t="inlineStr">
        <is>
          <t>Уд. масса</t>
        </is>
      </c>
      <c r="G1" s="1" t="inlineStr">
        <is>
          <t>Ед.</t>
        </is>
      </c>
      <c r="H1" s="1" t="inlineStr">
        <is>
          <t>Колонны/стойки, т</t>
        </is>
      </c>
      <c r="I1" s="1" t="inlineStr">
        <is>
          <t>Колонны/стойки, м/м²</t>
        </is>
      </c>
      <c r="J1" s="1" t="inlineStr">
        <is>
          <t>Балки, т</t>
        </is>
      </c>
      <c r="K1" s="1" t="inlineStr">
        <is>
          <t>Балки, м/м²</t>
        </is>
      </c>
      <c r="L1" s="1" t="inlineStr">
        <is>
          <t>Связи, т</t>
        </is>
      </c>
      <c r="M1" s="1" t="inlineStr">
        <is>
          <t>Связи, м/м²</t>
        </is>
      </c>
      <c r="N1" s="1" t="inlineStr">
        <is>
          <t>Прогоны, т</t>
        </is>
      </c>
      <c r="O1" s="1" t="inlineStr">
        <is>
          <t>Прогоны, м/м²</t>
        </is>
      </c>
      <c r="P1" s="1" t="inlineStr">
        <is>
          <t>Общая масса, т</t>
        </is>
      </c>
      <c r="Q1" s="1" t="inlineStr">
        <is>
          <t>Статус проверки</t>
        </is>
      </c>
    </row>
    <row r="2">
      <c r="A2" s="2" t="inlineStr">
        <is>
          <t>Двутавры</t>
        </is>
      </c>
      <c r="B2" s="2" t="inlineStr">
        <is>
          <t>Двутавр</t>
        </is>
      </c>
      <c r="C2" s="2" t="inlineStr">
        <is>
          <t>26Б1</t>
        </is>
      </c>
      <c r="D2" s="2" t="inlineStr">
        <is>
          <t>ГОСТ 26020-83</t>
        </is>
      </c>
      <c r="E2" s="2" t="inlineStr">
        <is>
          <t>С255</t>
        </is>
      </c>
      <c r="F2" s="3" t="n">
        <v>28</v>
      </c>
      <c r="G2" s="3" t="inlineStr">
        <is>
          <t>кг/м</t>
        </is>
      </c>
      <c r="H2" s="3" t="n">
        <v>2.38</v>
      </c>
      <c r="I2" s="4">
        <f>IF(H2="","",H2*1000/$F2)</f>
        <v/>
      </c>
      <c r="J2" s="3" t="n">
        <v>16.41</v>
      </c>
      <c r="K2" s="4">
        <f>IF(J2="","",J2*1000/$F2)</f>
        <v/>
      </c>
      <c r="L2" s="3" t="n"/>
      <c r="M2" s="4">
        <f>IF(L2="","",L2*1000/$F2)</f>
        <v/>
      </c>
      <c r="N2" s="3" t="n"/>
      <c r="O2" s="4">
        <f>IF(N2="","",N2*1000/$F2)</f>
        <v/>
      </c>
      <c r="P2" s="3" t="n">
        <v>18.78</v>
      </c>
      <c r="Q2" s="3" t="inlineStr">
        <is>
          <t>Проверить 23met по ГОСТ 26020-83</t>
        </is>
      </c>
      <c r="R2" s="5" t="n"/>
    </row>
    <row r="3">
      <c r="A3" s="2" t="inlineStr">
        <is>
          <t>Двутавры</t>
        </is>
      </c>
      <c r="B3" s="2" t="inlineStr">
        <is>
          <t>Двутавр</t>
        </is>
      </c>
      <c r="C3" s="2" t="inlineStr">
        <is>
          <t>23Б1</t>
        </is>
      </c>
      <c r="D3" s="2" t="inlineStr">
        <is>
          <t>ГОСТ 26020-83</t>
        </is>
      </c>
      <c r="E3" s="2" t="inlineStr">
        <is>
          <t>С255</t>
        </is>
      </c>
      <c r="F3" s="3" t="n">
        <v>25.8</v>
      </c>
      <c r="G3" s="3" t="inlineStr">
        <is>
          <t>кг/м</t>
        </is>
      </c>
      <c r="H3" s="3" t="n">
        <v>0.24</v>
      </c>
      <c r="I3" s="4">
        <f>IF(H3="","",H3*1000/$F3)</f>
        <v/>
      </c>
      <c r="J3" s="3" t="n">
        <v>1.78</v>
      </c>
      <c r="K3" s="4">
        <f>IF(J3="","",J3*1000/$F3)</f>
        <v/>
      </c>
      <c r="L3" s="3" t="n"/>
      <c r="M3" s="4">
        <f>IF(L3="","",L3*1000/$F3)</f>
        <v/>
      </c>
      <c r="N3" s="3" t="n"/>
      <c r="O3" s="4">
        <f>IF(N3="","",N3*1000/$F3)</f>
        <v/>
      </c>
      <c r="P3" s="3" t="n">
        <v>2.02</v>
      </c>
      <c r="Q3" s="3" t="inlineStr">
        <is>
          <t>Проверить 23met по ГОСТ 26020-83</t>
        </is>
      </c>
      <c r="R3" s="5" t="n"/>
    </row>
    <row r="4">
      <c r="A4" s="2" t="inlineStr">
        <is>
          <t>Двутавры</t>
        </is>
      </c>
      <c r="B4" s="2" t="inlineStr">
        <is>
          <t>Двутавр</t>
        </is>
      </c>
      <c r="C4" s="2" t="inlineStr">
        <is>
          <t>30Б1</t>
        </is>
      </c>
      <c r="D4" s="2" t="inlineStr">
        <is>
          <t>ГОСТ 26020-83</t>
        </is>
      </c>
      <c r="E4" s="2" t="inlineStr">
        <is>
          <t>С255</t>
        </is>
      </c>
      <c r="F4" s="3" t="n">
        <v>32.9</v>
      </c>
      <c r="G4" s="3" t="inlineStr">
        <is>
          <t>кг/м</t>
        </is>
      </c>
      <c r="H4" s="3" t="n">
        <v>0.31</v>
      </c>
      <c r="I4" s="4">
        <f>IF(H4="","",H4*1000/$F4)</f>
        <v/>
      </c>
      <c r="J4" s="3" t="n">
        <v>2.27</v>
      </c>
      <c r="K4" s="4">
        <f>IF(J4="","",J4*1000/$F4)</f>
        <v/>
      </c>
      <c r="L4" s="3" t="n"/>
      <c r="M4" s="4">
        <f>IF(L4="","",L4*1000/$F4)</f>
        <v/>
      </c>
      <c r="N4" s="3" t="n"/>
      <c r="O4" s="4">
        <f>IF(N4="","",N4*1000/$F4)</f>
        <v/>
      </c>
      <c r="P4" s="3" t="n">
        <v>2.58</v>
      </c>
      <c r="Q4" s="3" t="inlineStr">
        <is>
          <t>Проверить 23met по ГОСТ 26020-83</t>
        </is>
      </c>
      <c r="R4" s="5" t="n"/>
    </row>
    <row r="5">
      <c r="A5" s="2" t="inlineStr">
        <is>
          <t>Двутавры</t>
        </is>
      </c>
      <c r="B5" s="2" t="inlineStr">
        <is>
          <t>Двутавр</t>
        </is>
      </c>
      <c r="C5" s="2" t="inlineStr">
        <is>
          <t>40Б1</t>
        </is>
      </c>
      <c r="D5" s="2" t="inlineStr">
        <is>
          <t>ГОСТ 26020-83</t>
        </is>
      </c>
      <c r="E5" s="2" t="inlineStr">
        <is>
          <t>С255</t>
        </is>
      </c>
      <c r="F5" s="3" t="n">
        <v>48.1</v>
      </c>
      <c r="G5" s="3" t="inlineStr">
        <is>
          <t>кг/м</t>
        </is>
      </c>
      <c r="H5" s="3" t="n"/>
      <c r="I5" s="4">
        <f>IF(H5="","",H5*1000/$F5)</f>
        <v/>
      </c>
      <c r="J5" s="3" t="n">
        <v>8.470000000000001</v>
      </c>
      <c r="K5" s="4">
        <f>IF(J5="","",J5*1000/$F5)</f>
        <v/>
      </c>
      <c r="L5" s="3" t="n"/>
      <c r="M5" s="4">
        <f>IF(L5="","",L5*1000/$F5)</f>
        <v/>
      </c>
      <c r="N5" s="3" t="n"/>
      <c r="O5" s="4">
        <f>IF(N5="","",N5*1000/$F5)</f>
        <v/>
      </c>
      <c r="P5" s="3" t="n">
        <v>8.470000000000001</v>
      </c>
      <c r="Q5" s="3" t="inlineStr">
        <is>
          <t>Проверить 23met по ГОСТ 26020-83</t>
        </is>
      </c>
      <c r="R5" s="5" t="n"/>
    </row>
    <row r="6">
      <c r="A6" s="2" t="inlineStr">
        <is>
          <t>Профильные трубы</t>
        </is>
      </c>
      <c r="B6" s="2" t="inlineStr">
        <is>
          <t>Труба профильная</t>
        </is>
      </c>
      <c r="C6" s="2" t="inlineStr">
        <is>
          <t>160×160×5</t>
        </is>
      </c>
      <c r="D6" s="2" t="inlineStr">
        <is>
          <t>ГОСТ 30245-2003</t>
        </is>
      </c>
      <c r="E6" s="2" t="inlineStr">
        <is>
          <t>С255</t>
        </is>
      </c>
      <c r="F6" s="3" t="n">
        <v>24.7</v>
      </c>
      <c r="G6" s="3" t="inlineStr">
        <is>
          <t>кг/м</t>
        </is>
      </c>
      <c r="H6" s="3" t="n">
        <v>2.45</v>
      </c>
      <c r="I6" s="4">
        <f>IF(H6="","",H6*1000/$F6)</f>
        <v/>
      </c>
      <c r="J6" s="3" t="n"/>
      <c r="K6" s="4">
        <f>IF(J6="","",J6*1000/$F6)</f>
        <v/>
      </c>
      <c r="L6" s="3" t="n"/>
      <c r="M6" s="4">
        <f>IF(L6="","",L6*1000/$F6)</f>
        <v/>
      </c>
      <c r="N6" s="3" t="n"/>
      <c r="O6" s="4">
        <f>IF(N6="","",N6*1000/$F6)</f>
        <v/>
      </c>
      <c r="P6" s="3" t="n">
        <v>2.45</v>
      </c>
      <c r="Q6" s="3" t="inlineStr">
        <is>
          <t>Проверить 23met по ГОСТ 30245-2003</t>
        </is>
      </c>
      <c r="R6" s="5" t="n"/>
    </row>
    <row r="7">
      <c r="A7" s="2" t="inlineStr">
        <is>
          <t>Профильные трубы</t>
        </is>
      </c>
      <c r="B7" s="2" t="inlineStr">
        <is>
          <t>Труба профильная</t>
        </is>
      </c>
      <c r="C7" s="2" t="inlineStr">
        <is>
          <t>120×120×3</t>
        </is>
      </c>
      <c r="D7" s="2" t="inlineStr">
        <is>
          <t>ГОСТ 30245-2003</t>
        </is>
      </c>
      <c r="E7" s="2" t="inlineStr">
        <is>
          <t>С255</t>
        </is>
      </c>
      <c r="F7" s="3" t="n">
        <v>10.48</v>
      </c>
      <c r="G7" s="3" t="inlineStr">
        <is>
          <t>кг/м</t>
        </is>
      </c>
      <c r="H7" s="3" t="n">
        <v>0.53</v>
      </c>
      <c r="I7" s="4">
        <f>IF(H7="","",H7*1000/$F7)</f>
        <v/>
      </c>
      <c r="J7" s="3" t="n"/>
      <c r="K7" s="4">
        <f>IF(J7="","",J7*1000/$F7)</f>
        <v/>
      </c>
      <c r="L7" s="3" t="n"/>
      <c r="M7" s="4">
        <f>IF(L7="","",L7*1000/$F7)</f>
        <v/>
      </c>
      <c r="N7" s="3" t="n">
        <v>2.84</v>
      </c>
      <c r="O7" s="4">
        <f>IF(N7="","",N7*1000/$F7)</f>
        <v/>
      </c>
      <c r="P7" s="3" t="n">
        <v>3.37</v>
      </c>
      <c r="Q7" s="3" t="inlineStr">
        <is>
          <t>Проверить 23met по ГОСТ 30245-2003</t>
        </is>
      </c>
      <c r="R7" s="5" t="n"/>
    </row>
    <row r="8">
      <c r="A8" s="2" t="inlineStr">
        <is>
          <t>Профильные трубы</t>
        </is>
      </c>
      <c r="B8" s="2" t="inlineStr">
        <is>
          <t>Труба профильная</t>
        </is>
      </c>
      <c r="C8" s="2" t="inlineStr">
        <is>
          <t>120×80×3</t>
        </is>
      </c>
      <c r="D8" s="2" t="inlineStr">
        <is>
          <t>ГОСТ 30245-2003</t>
        </is>
      </c>
      <c r="E8" s="2" t="inlineStr">
        <is>
          <t>С255</t>
        </is>
      </c>
      <c r="F8" s="3" t="n">
        <v>8.960000000000001</v>
      </c>
      <c r="G8" s="3" t="inlineStr">
        <is>
          <t>кг/м</t>
        </is>
      </c>
      <c r="H8" s="3" t="n"/>
      <c r="I8" s="4">
        <f>IF(H8="","",H8*1000/$F8)</f>
        <v/>
      </c>
      <c r="J8" s="3" t="n"/>
      <c r="K8" s="4">
        <f>IF(J8="","",J8*1000/$F8)</f>
        <v/>
      </c>
      <c r="L8" s="3" t="n"/>
      <c r="M8" s="4">
        <f>IF(L8="","",L8*1000/$F8)</f>
        <v/>
      </c>
      <c r="N8" s="3" t="n">
        <v>3.97</v>
      </c>
      <c r="O8" s="4">
        <f>IF(N8="","",N8*1000/$F8)</f>
        <v/>
      </c>
      <c r="P8" s="3" t="n">
        <v>3.97</v>
      </c>
      <c r="Q8" s="3" t="inlineStr">
        <is>
          <t>Проверить 23met по ГОСТ 30245-2003</t>
        </is>
      </c>
      <c r="R8" s="5" t="n"/>
    </row>
    <row r="9">
      <c r="A9" s="2" t="inlineStr">
        <is>
          <t>Профильные трубы</t>
        </is>
      </c>
      <c r="B9" s="2" t="inlineStr">
        <is>
          <t>Труба профильная</t>
        </is>
      </c>
      <c r="C9" s="2" t="inlineStr">
        <is>
          <t>60×60×4</t>
        </is>
      </c>
      <c r="D9" s="2" t="inlineStr">
        <is>
          <t>ГОСТ 30245-2003</t>
        </is>
      </c>
      <c r="E9" s="2" t="inlineStr">
        <is>
          <t>С255</t>
        </is>
      </c>
      <c r="F9" s="3" t="n">
        <v>6.82</v>
      </c>
      <c r="G9" s="3" t="inlineStr">
        <is>
          <t>кг/м</t>
        </is>
      </c>
      <c r="H9" s="3" t="n"/>
      <c r="I9" s="4">
        <f>IF(H9="","",H9*1000/$F9)</f>
        <v/>
      </c>
      <c r="J9" s="3" t="n"/>
      <c r="K9" s="4">
        <f>IF(J9="","",J9*1000/$F9)</f>
        <v/>
      </c>
      <c r="L9" s="3" t="n"/>
      <c r="M9" s="4">
        <f>IF(L9="","",L9*1000/$F9)</f>
        <v/>
      </c>
      <c r="N9" s="3" t="n">
        <v>0.2</v>
      </c>
      <c r="O9" s="4">
        <f>IF(N9="","",N9*1000/$F9)</f>
        <v/>
      </c>
      <c r="P9" s="3" t="n">
        <v>0.2</v>
      </c>
      <c r="Q9" s="3" t="inlineStr">
        <is>
          <t>Проверить 23met по ГОСТ 30245-2003</t>
        </is>
      </c>
      <c r="R9" s="5" t="n"/>
    </row>
    <row r="10">
      <c r="A10" s="2" t="inlineStr">
        <is>
          <t>Швеллеры гнутые</t>
        </is>
      </c>
      <c r="B10" s="2" t="inlineStr">
        <is>
          <t>Швеллер гнутый</t>
        </is>
      </c>
      <c r="C10" s="2" t="inlineStr">
        <is>
          <t>[120×60×4</t>
        </is>
      </c>
      <c r="D10" s="2" t="inlineStr">
        <is>
          <t>ГОСТ 8281-80</t>
        </is>
      </c>
      <c r="E10" s="2" t="inlineStr">
        <is>
          <t>С245</t>
        </is>
      </c>
      <c r="F10" s="3" t="n">
        <v>7.1</v>
      </c>
      <c r="G10" s="3" t="inlineStr">
        <is>
          <t>кг/м</t>
        </is>
      </c>
      <c r="H10" s="3" t="n"/>
      <c r="I10" s="4">
        <f>IF(H10="","",H10*1000/$F10)</f>
        <v/>
      </c>
      <c r="J10" s="3" t="n"/>
      <c r="K10" s="4">
        <f>IF(J10="","",J10*1000/$F10)</f>
        <v/>
      </c>
      <c r="L10" s="3" t="n"/>
      <c r="M10" s="4">
        <f>IF(L10="","",L10*1000/$F10)</f>
        <v/>
      </c>
      <c r="N10" s="3" t="n">
        <v>0.83</v>
      </c>
      <c r="O10" s="4">
        <f>IF(N10="","",N10*1000/$F10)</f>
        <v/>
      </c>
      <c r="P10" s="3" t="n">
        <v>0.83</v>
      </c>
      <c r="Q10" s="3" t="inlineStr">
        <is>
          <t>Проверить массу по ГОСТ 8281-80</t>
        </is>
      </c>
      <c r="R10" s="5" t="n"/>
    </row>
    <row r="11">
      <c r="A11" s="6" t="inlineStr">
        <is>
          <t>Уголки равнополочные</t>
        </is>
      </c>
      <c r="B11" s="6" t="inlineStr">
        <is>
          <t>Уголок равнополочный</t>
        </is>
      </c>
      <c r="C11" s="6" t="inlineStr">
        <is>
          <t>L75×6</t>
        </is>
      </c>
      <c r="D11" s="6" t="inlineStr">
        <is>
          <t>ГОСТ 8509-93</t>
        </is>
      </c>
      <c r="E11" s="6" t="inlineStr">
        <is>
          <t>С245</t>
        </is>
      </c>
      <c r="F11" s="7" t="n">
        <v>6.89</v>
      </c>
      <c r="G11" s="7" t="inlineStr">
        <is>
          <t>кг/м</t>
        </is>
      </c>
      <c r="H11" s="7" t="n"/>
      <c r="I11" s="8">
        <f>IF(H11="","",H11*1000/$F11)</f>
        <v/>
      </c>
      <c r="J11" s="7" t="n"/>
      <c r="K11" s="8">
        <f>IF(J11="","",J11*1000/$F11)</f>
        <v/>
      </c>
      <c r="L11" s="7" t="n">
        <v>0.34</v>
      </c>
      <c r="M11" s="8">
        <f>IF(L11="","",L11*1000/$F11)</f>
        <v/>
      </c>
      <c r="N11" s="7" t="n"/>
      <c r="O11" s="8">
        <f>IF(N11="","",N11*1000/$F11)</f>
        <v/>
      </c>
      <c r="P11" s="7" t="n">
        <v>0.34</v>
      </c>
      <c r="Q11" s="7" t="inlineStr">
        <is>
          <t>OK</t>
        </is>
      </c>
      <c r="R11" s="9" t="n"/>
    </row>
    <row r="12">
      <c r="A12" s="2" t="inlineStr">
        <is>
          <t>Уголки равнополочные</t>
        </is>
      </c>
      <c r="B12" s="2" t="inlineStr">
        <is>
          <t>Уголок равнополочный</t>
        </is>
      </c>
      <c r="C12" s="2" t="inlineStr">
        <is>
          <t>L70×5</t>
        </is>
      </c>
      <c r="D12" s="2" t="inlineStr">
        <is>
          <t>ГОСТ 8509-93</t>
        </is>
      </c>
      <c r="E12" s="2" t="inlineStr">
        <is>
          <t>С245</t>
        </is>
      </c>
      <c r="F12" s="3" t="n">
        <v>5.38</v>
      </c>
      <c r="G12" s="3" t="inlineStr">
        <is>
          <t>кг/м</t>
        </is>
      </c>
      <c r="H12" s="3" t="n"/>
      <c r="I12" s="4">
        <f>IF(H12="","",H12*1000/$F12)</f>
        <v/>
      </c>
      <c r="J12" s="3" t="n"/>
      <c r="K12" s="4">
        <f>IF(J12="","",J12*1000/$F12)</f>
        <v/>
      </c>
      <c r="L12" s="3" t="n"/>
      <c r="M12" s="4">
        <f>IF(L12="","",L12*1000/$F12)</f>
        <v/>
      </c>
      <c r="N12" s="3" t="n">
        <v>0.02</v>
      </c>
      <c r="O12" s="4">
        <f>IF(N12="","",N12*1000/$F12)</f>
        <v/>
      </c>
      <c r="P12" s="3" t="n">
        <v>0.02</v>
      </c>
      <c r="Q12" s="3" t="inlineStr">
        <is>
          <t>Проверить 23met по ГОСТ 8509-93</t>
        </is>
      </c>
      <c r="R12" s="5" t="n"/>
    </row>
    <row r="13">
      <c r="A13" s="6" t="inlineStr">
        <is>
          <t>Уголки равнополочные</t>
        </is>
      </c>
      <c r="B13" s="6" t="inlineStr">
        <is>
          <t>Уголок равнополочный</t>
        </is>
      </c>
      <c r="C13" s="6" t="inlineStr">
        <is>
          <t>L50×5</t>
        </is>
      </c>
      <c r="D13" s="6" t="inlineStr">
        <is>
          <t>ГОСТ 8509-93</t>
        </is>
      </c>
      <c r="E13" s="6" t="inlineStr">
        <is>
          <t>С245</t>
        </is>
      </c>
      <c r="F13" s="7" t="n">
        <v>3.77</v>
      </c>
      <c r="G13" s="7" t="inlineStr">
        <is>
          <t>кг/м</t>
        </is>
      </c>
      <c r="H13" s="7" t="n"/>
      <c r="I13" s="8">
        <f>IF(H13="","",H13*1000/$F13)</f>
        <v/>
      </c>
      <c r="J13" s="7" t="n"/>
      <c r="K13" s="8">
        <f>IF(J13="","",J13*1000/$F13)</f>
        <v/>
      </c>
      <c r="L13" s="7" t="n">
        <v>0.58</v>
      </c>
      <c r="M13" s="8">
        <f>IF(L13="","",L13*1000/$F13)</f>
        <v/>
      </c>
      <c r="N13" s="7" t="n"/>
      <c r="O13" s="8">
        <f>IF(N13="","",N13*1000/$F13)</f>
        <v/>
      </c>
      <c r="P13" s="7" t="n">
        <v>0.58</v>
      </c>
      <c r="Q13" s="7" t="inlineStr">
        <is>
          <t>OK</t>
        </is>
      </c>
      <c r="R13" s="9" t="n"/>
    </row>
    <row r="14">
      <c r="A14" s="2" t="inlineStr">
        <is>
          <t>Уголки равнополочные</t>
        </is>
      </c>
      <c r="B14" s="2" t="inlineStr">
        <is>
          <t>Уголок равнополочный</t>
        </is>
      </c>
      <c r="C14" s="2" t="inlineStr">
        <is>
          <t>L100×7</t>
        </is>
      </c>
      <c r="D14" s="2" t="inlineStr">
        <is>
          <t>ГОСТ 8509-93</t>
        </is>
      </c>
      <c r="E14" s="2" t="inlineStr">
        <is>
          <t>С245</t>
        </is>
      </c>
      <c r="F14" s="3" t="n">
        <v>10.79</v>
      </c>
      <c r="G14" s="3" t="inlineStr">
        <is>
          <t>кг/м</t>
        </is>
      </c>
      <c r="H14" s="3" t="n"/>
      <c r="I14" s="4">
        <f>IF(H14="","",H14*1000/$F14)</f>
        <v/>
      </c>
      <c r="J14" s="3" t="n"/>
      <c r="K14" s="4">
        <f>IF(J14="","",J14*1000/$F14)</f>
        <v/>
      </c>
      <c r="L14" s="3" t="n"/>
      <c r="M14" s="4">
        <f>IF(L14="","",L14*1000/$F14)</f>
        <v/>
      </c>
      <c r="N14" s="3" t="n">
        <v>0.13</v>
      </c>
      <c r="O14" s="4">
        <f>IF(N14="","",N14*1000/$F14)</f>
        <v/>
      </c>
      <c r="P14" s="3" t="n">
        <v>0.13</v>
      </c>
      <c r="Q14" s="3" t="inlineStr">
        <is>
          <t>Проверить 23met по ГОСТ 8509-93</t>
        </is>
      </c>
      <c r="R14" s="5" t="n"/>
    </row>
    <row r="15">
      <c r="A15" s="6" t="inlineStr">
        <is>
          <t>Листовая сталь</t>
        </is>
      </c>
      <c r="B15" s="6" t="inlineStr">
        <is>
          <t>Лист</t>
        </is>
      </c>
      <c r="C15" s="6" t="inlineStr">
        <is>
          <t>t12</t>
        </is>
      </c>
      <c r="D15" s="6" t="inlineStr">
        <is>
          <t>ГОСТ 19903-2015</t>
        </is>
      </c>
      <c r="E15" s="6" t="inlineStr">
        <is>
          <t>С245</t>
        </is>
      </c>
      <c r="F15" s="7" t="n">
        <v>94.2</v>
      </c>
      <c r="G15" s="7" t="inlineStr">
        <is>
          <t>кг/м²</t>
        </is>
      </c>
      <c r="H15" s="7" t="n">
        <v>0.64</v>
      </c>
      <c r="I15" s="8">
        <f>IF(H15="","",H15*1000/$F15)</f>
        <v/>
      </c>
      <c r="J15" s="7" t="n"/>
      <c r="K15" s="8">
        <f>IF(J15="","",J15*1000/$F15)</f>
        <v/>
      </c>
      <c r="L15" s="7" t="n"/>
      <c r="M15" s="8">
        <f>IF(L15="","",L15*1000/$F15)</f>
        <v/>
      </c>
      <c r="N15" s="7" t="n"/>
      <c r="O15" s="8">
        <f>IF(N15="","",N15*1000/$F15)</f>
        <v/>
      </c>
      <c r="P15" s="7" t="n">
        <v>0.64</v>
      </c>
      <c r="Q15" s="7" t="inlineStr">
        <is>
          <t>OK</t>
        </is>
      </c>
      <c r="R15" s="9" t="n"/>
    </row>
    <row r="16">
      <c r="A16" s="6" t="inlineStr">
        <is>
          <t>Листовая сталь</t>
        </is>
      </c>
      <c r="B16" s="6" t="inlineStr">
        <is>
          <t>Лист</t>
        </is>
      </c>
      <c r="C16" s="6" t="inlineStr">
        <is>
          <t>t10</t>
        </is>
      </c>
      <c r="D16" s="6" t="inlineStr">
        <is>
          <t>ГОСТ 19903-2015</t>
        </is>
      </c>
      <c r="E16" s="6" t="inlineStr">
        <is>
          <t>С245</t>
        </is>
      </c>
      <c r="F16" s="7" t="n">
        <v>78.5</v>
      </c>
      <c r="G16" s="7" t="inlineStr">
        <is>
          <t>кг/м²</t>
        </is>
      </c>
      <c r="H16" s="7" t="n">
        <v>0.3</v>
      </c>
      <c r="I16" s="8">
        <f>IF(H16="","",H16*1000/$F16)</f>
        <v/>
      </c>
      <c r="J16" s="7" t="n">
        <v>5.86</v>
      </c>
      <c r="K16" s="8">
        <f>IF(J16="","",J16*1000/$F16)</f>
        <v/>
      </c>
      <c r="L16" s="7" t="n">
        <v>0.21</v>
      </c>
      <c r="M16" s="8">
        <f>IF(L16="","",L16*1000/$F16)</f>
        <v/>
      </c>
      <c r="N16" s="7" t="n"/>
      <c r="O16" s="8">
        <f>IF(N16="","",N16*1000/$F16)</f>
        <v/>
      </c>
      <c r="P16" s="7" t="n">
        <v>6.36</v>
      </c>
      <c r="Q16" s="7" t="inlineStr">
        <is>
          <t>OK</t>
        </is>
      </c>
      <c r="R16" s="9" t="n"/>
    </row>
    <row r="17">
      <c r="A17" s="6" t="inlineStr">
        <is>
          <t>Листовая сталь</t>
        </is>
      </c>
      <c r="B17" s="6" t="inlineStr">
        <is>
          <t>Лист</t>
        </is>
      </c>
      <c r="C17" s="6" t="inlineStr">
        <is>
          <t>t8</t>
        </is>
      </c>
      <c r="D17" s="6" t="inlineStr">
        <is>
          <t>ГОСТ 19903-2015</t>
        </is>
      </c>
      <c r="E17" s="6" t="inlineStr">
        <is>
          <t>С245</t>
        </is>
      </c>
      <c r="F17" s="7" t="n">
        <v>62.8</v>
      </c>
      <c r="G17" s="7" t="inlineStr">
        <is>
          <t>кг/м²</t>
        </is>
      </c>
      <c r="H17" s="7" t="n">
        <v>0.09</v>
      </c>
      <c r="I17" s="8">
        <f>IF(H17="","",H17*1000/$F17)</f>
        <v/>
      </c>
      <c r="J17" s="7" t="n">
        <v>0.14</v>
      </c>
      <c r="K17" s="8">
        <f>IF(J17="","",J17*1000/$F17)</f>
        <v/>
      </c>
      <c r="L17" s="7" t="n"/>
      <c r="M17" s="8">
        <f>IF(L17="","",L17*1000/$F17)</f>
        <v/>
      </c>
      <c r="N17" s="7" t="n">
        <v>0.05</v>
      </c>
      <c r="O17" s="8">
        <f>IF(N17="","",N17*1000/$F17)</f>
        <v/>
      </c>
      <c r="P17" s="7" t="n">
        <v>0.28</v>
      </c>
      <c r="Q17" s="7" t="inlineStr">
        <is>
          <t>OK</t>
        </is>
      </c>
      <c r="R17" s="9" t="n"/>
    </row>
    <row r="18">
      <c r="A18" s="6" t="inlineStr">
        <is>
          <t>Листовая сталь</t>
        </is>
      </c>
      <c r="B18" s="6" t="inlineStr">
        <is>
          <t>Лист</t>
        </is>
      </c>
      <c r="C18" s="6" t="inlineStr">
        <is>
          <t>t6</t>
        </is>
      </c>
      <c r="D18" s="6" t="inlineStr">
        <is>
          <t>ГОСТ 19903-2015</t>
        </is>
      </c>
      <c r="E18" s="6" t="inlineStr">
        <is>
          <t>С245</t>
        </is>
      </c>
      <c r="F18" s="7" t="n">
        <v>47.1</v>
      </c>
      <c r="G18" s="7" t="inlineStr">
        <is>
          <t>кг/м²</t>
        </is>
      </c>
      <c r="H18" s="7" t="n">
        <v>0.08</v>
      </c>
      <c r="I18" s="8">
        <f>IF(H18="","",H18*1000/$F18)</f>
        <v/>
      </c>
      <c r="J18" s="7" t="n">
        <v>0.13</v>
      </c>
      <c r="K18" s="8">
        <f>IF(J18="","",J18*1000/$F18)</f>
        <v/>
      </c>
      <c r="L18" s="7" t="n">
        <v>0.01</v>
      </c>
      <c r="M18" s="8">
        <f>IF(L18="","",L18*1000/$F18)</f>
        <v/>
      </c>
      <c r="N18" s="7" t="n"/>
      <c r="O18" s="8">
        <f>IF(N18="","",N18*1000/$F18)</f>
        <v/>
      </c>
      <c r="P18" s="7" t="n">
        <v>0.22</v>
      </c>
      <c r="Q18" s="7" t="inlineStr">
        <is>
          <t>OK</t>
        </is>
      </c>
      <c r="R18" s="9" t="n"/>
    </row>
    <row r="19">
      <c r="A19" s="6" t="inlineStr">
        <is>
          <t>Листовая сталь</t>
        </is>
      </c>
      <c r="B19" s="6" t="inlineStr">
        <is>
          <t>Лист</t>
        </is>
      </c>
      <c r="C19" s="6" t="inlineStr">
        <is>
          <t>t5</t>
        </is>
      </c>
      <c r="D19" s="6" t="inlineStr">
        <is>
          <t>ГОСТ 19903-2015</t>
        </is>
      </c>
      <c r="E19" s="6" t="inlineStr">
        <is>
          <t>С245</t>
        </is>
      </c>
      <c r="F19" s="7" t="n">
        <v>39.25</v>
      </c>
      <c r="G19" s="7" t="inlineStr">
        <is>
          <t>кг/м²</t>
        </is>
      </c>
      <c r="H19" s="7" t="n"/>
      <c r="I19" s="8">
        <f>IF(H19="","",H19*1000/$F19)</f>
        <v/>
      </c>
      <c r="J19" s="7" t="n"/>
      <c r="K19" s="8">
        <f>IF(J19="","",J19*1000/$F19)</f>
        <v/>
      </c>
      <c r="L19" s="7" t="n"/>
      <c r="M19" s="8">
        <f>IF(L19="","",L19*1000/$F19)</f>
        <v/>
      </c>
      <c r="N19" s="7" t="n">
        <v>0.04</v>
      </c>
      <c r="O19" s="8">
        <f>IF(N19="","",N19*1000/$F19)</f>
        <v/>
      </c>
      <c r="P19" s="7" t="n">
        <v>0.04</v>
      </c>
      <c r="Q19" s="7" t="inlineStr">
        <is>
          <t>OK</t>
        </is>
      </c>
      <c r="R19" s="9" t="n"/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0" t="inlineStr">
        <is>
          <t>Категория</t>
        </is>
      </c>
      <c r="B1" s="10" t="inlineStr">
        <is>
          <t>Колонны/стойки</t>
        </is>
      </c>
      <c r="C1" s="10" t="inlineStr">
        <is>
          <t>Балки</t>
        </is>
      </c>
      <c r="D1" s="10" t="inlineStr">
        <is>
          <t>Связи</t>
        </is>
      </c>
      <c r="E1" s="10" t="inlineStr">
        <is>
          <t>Прогоны</t>
        </is>
      </c>
      <c r="F1" s="10" t="inlineStr">
        <is>
          <t>Итого</t>
        </is>
      </c>
    </row>
    <row r="2">
      <c r="A2" s="11" t="inlineStr">
        <is>
          <t>Профили, м</t>
        </is>
      </c>
      <c r="B2" s="12" t="n">
        <v>253.49</v>
      </c>
      <c r="C2" s="12" t="n">
        <v>900.15</v>
      </c>
      <c r="D2" s="12" t="n">
        <v>203.19</v>
      </c>
      <c r="E2" s="12" t="n">
        <v>876.0700000000001</v>
      </c>
      <c r="F2" s="12" t="n">
        <v>2232.9</v>
      </c>
    </row>
    <row r="3">
      <c r="A3" s="11" t="inlineStr">
        <is>
          <t>Листовая сталь, м²</t>
        </is>
      </c>
      <c r="B3" s="12" t="n">
        <v>13.75</v>
      </c>
      <c r="C3" s="12" t="n">
        <v>79.64</v>
      </c>
      <c r="D3" s="12" t="n">
        <v>2.89</v>
      </c>
      <c r="E3" s="12" t="n">
        <v>1.82</v>
      </c>
      <c r="F3" s="12" t="n">
        <v>98.09</v>
      </c>
    </row>
    <row r="4">
      <c r="A4" s="11" t="inlineStr">
        <is>
          <t>Масса по прочитанным строкам, т</t>
        </is>
      </c>
      <c r="B4" s="12" t="n">
        <v>7.02</v>
      </c>
      <c r="C4" s="12" t="n">
        <v>35.06</v>
      </c>
      <c r="D4" s="12" t="n">
        <v>1.14</v>
      </c>
      <c r="E4" s="12" t="n">
        <v>8.08</v>
      </c>
      <c r="F4" s="12" t="n">
        <v>51.3</v>
      </c>
    </row>
    <row r="5">
      <c r="A5" s="11" t="inlineStr">
        <is>
          <t>Итог из спецификации, т</t>
        </is>
      </c>
      <c r="B5" s="12" t="n">
        <v>7.02</v>
      </c>
      <c r="C5" s="12" t="n">
        <v>35.05</v>
      </c>
      <c r="D5" s="12" t="n">
        <v>1.14</v>
      </c>
      <c r="E5" s="12" t="n">
        <v>8.07</v>
      </c>
      <c r="F5" s="12" t="n">
        <v>51.27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3" t="inlineStr">
        <is>
          <t>Параметр</t>
        </is>
      </c>
      <c r="B1" s="13" t="inlineStr">
        <is>
          <t>Значение</t>
        </is>
      </c>
    </row>
    <row r="2">
      <c r="A2" s="14" t="inlineStr">
        <is>
          <t>Исходный PDF</t>
        </is>
      </c>
      <c r="B2" s="14" t="inlineStr">
        <is>
          <t>Спецификация металла образец.pdf</t>
        </is>
      </c>
    </row>
    <row r="3">
      <c r="A3" s="14" t="inlineStr">
        <is>
          <t>Тип документа</t>
        </is>
      </c>
      <c r="B3" s="14" t="inlineStr">
        <is>
          <t>Техническая спецификация металла, страница 1.</t>
        </is>
      </c>
    </row>
    <row r="4">
      <c r="A4" s="14" t="inlineStr">
        <is>
          <t>Формула профилей</t>
        </is>
      </c>
      <c r="B4" s="14" t="inlineStr">
        <is>
          <t>Длина, м = Масса, т × 1000 / Удельная масса, кг/м</t>
        </is>
      </c>
    </row>
    <row r="5">
      <c r="A5" s="14" t="inlineStr">
        <is>
          <t>Формула листов</t>
        </is>
      </c>
      <c r="B5" s="14" t="inlineStr">
        <is>
          <t>Площадь, м² = Масса, т × 1000 / Удельная масса, кг/м²</t>
        </is>
      </c>
    </row>
    <row r="6">
      <c r="A6" s="14" t="inlineStr">
        <is>
          <t>Жёлтая заливка</t>
        </is>
      </c>
      <c r="B6" s="14" t="inlineStr">
        <is>
          <t>Позиции, где удельную массу желательно проверить по 23met с учетом точного ГОСТ.</t>
        </is>
      </c>
    </row>
    <row r="7">
      <c r="A7" s="14" t="inlineStr">
        <is>
          <t>Контрольная масса</t>
        </is>
      </c>
      <c r="B7" s="14" t="inlineStr">
        <is>
          <t>51,27 т</t>
        </is>
      </c>
    </row>
    <row r="8">
      <c r="A8" s="14" t="inlineStr">
        <is>
          <t>Контроль по конструкциям</t>
        </is>
      </c>
      <c r="B8" s="14" t="inlineStr">
        <is>
          <t>Колонны/стойки 7,02 т; балки 35,05 т; связи 1,14 т; прогоны 8,07 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2026-07-27T08:43:44Z</dcterms:created>
  <dcterms:modified xmlns:dcterms="http://purl.org/dc/terms/" xmlns:xsi="http://www.w3.org/2001/XMLSchema-instance" xsi:type="dcterms:W3CDTF">2026-07-27T08:43:44Z</dcterms:modified>
</cp:coreProperties>
</file>